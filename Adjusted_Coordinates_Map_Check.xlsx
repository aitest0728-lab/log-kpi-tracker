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justed List" sheetId="1" state="visible" r:id="rId3"/>
    <sheet name="Summary" sheetId="2" state="visible" r:id="rId4"/>
  </sheets>
  <definedNames>
    <definedName function="false" hidden="true" localSheetId="0" name="_xlnm._FilterDatabase" vbProcedure="false">'Adjusted List'!$A$1:$U$189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<sst xmlns="http://schemas.openxmlformats.org/spreadsheetml/2006/main" count="1724" uniqueCount="821">
  <si>
    <t xml:space="preserve">Estate Code</t>
  </si>
  <si>
    <t xml:space="preserve">Estate Name (EN)</t>
  </si>
  <si>
    <t xml:space="preserve">Estate Name (ZH)</t>
  </si>
  <si>
    <t xml:space="preserve">Area</t>
  </si>
  <si>
    <t xml:space="preserve">District</t>
  </si>
  <si>
    <t xml:space="preserve">Delivery Zone</t>
  </si>
  <si>
    <t xml:space="preserve">Original Latitude</t>
  </si>
  <si>
    <t xml:space="preserve">Original Longitude</t>
  </si>
  <si>
    <t xml:space="preserve">km off centre</t>
  </si>
  <si>
    <t xml:space="preserve">Zone limit (km)</t>
  </si>
  <si>
    <t xml:space="preserve">Adjusted Latitude</t>
  </si>
  <si>
    <t xml:space="preserve">Adjusted Longitude</t>
  </si>
  <si>
    <t xml:space="preserve">Method</t>
  </si>
  <si>
    <t xml:space="preserve">Confidence</t>
  </si>
  <si>
    <t xml:space="preserve">Note</t>
  </si>
  <si>
    <t xml:space="preserve">Verified Latitude (fill in)</t>
  </si>
  <si>
    <t xml:space="preserve">Verified Longitude (fill in)</t>
  </si>
  <si>
    <t xml:space="preserve">FINAL Latitude</t>
  </si>
  <si>
    <t xml:space="preserve">FINAL Longitude</t>
  </si>
  <si>
    <t xml:space="preserve">Zone ref. Latitude</t>
  </si>
  <si>
    <t xml:space="preserve">Zone ref. Longitude</t>
  </si>
  <si>
    <t xml:space="preserve">E27067</t>
  </si>
  <si>
    <t xml:space="preserve">WING FAT BUILDING</t>
  </si>
  <si>
    <t xml:space="preserve">永發大樓</t>
  </si>
  <si>
    <t xml:space="preserve">Tai Kok Tsui</t>
  </si>
  <si>
    <t xml:space="preserve">WTK</t>
  </si>
  <si>
    <t xml:space="preserve">KN639-1</t>
  </si>
  <si>
    <t xml:space="preserve">sibling</t>
  </si>
  <si>
    <t xml:space="preserve">medium</t>
  </si>
  <si>
    <t xml:space="preserve">same estate as E27933</t>
  </si>
  <si>
    <t xml:space="preserve">E26665</t>
  </si>
  <si>
    <t xml:space="preserve">ONMANTIN (PHASE IIB) TOWER 5A</t>
  </si>
  <si>
    <r>
      <rPr>
        <sz val="10"/>
        <rFont val="Noto Sans CJK SC"/>
        <family val="2"/>
      </rPr>
      <t xml:space="preserve">朗賢峯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IIB</t>
    </r>
    <r>
      <rPr>
        <sz val="10"/>
        <rFont val="Noto Sans CJK SC"/>
        <family val="2"/>
      </rPr>
      <t xml:space="preserve">期</t>
    </r>
    <r>
      <rPr>
        <sz val="10"/>
        <rFont val="Arial"/>
        <family val="0"/>
        <charset val="1"/>
      </rPr>
      <t xml:space="preserve">)5A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忠孝街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)</t>
    </r>
  </si>
  <si>
    <t xml:space="preserve">Ho Man Tin</t>
  </si>
  <si>
    <t xml:space="preserve">KN619-2</t>
  </si>
  <si>
    <t xml:space="preserve">same estate as E26641, E26656, E26657</t>
  </si>
  <si>
    <t xml:space="preserve">E26674</t>
  </si>
  <si>
    <t xml:space="preserve">ONMANTIN (PHASE IIB) TOWER 5B</t>
  </si>
  <si>
    <r>
      <rPr>
        <sz val="10"/>
        <rFont val="Noto Sans CJK SC"/>
        <family val="2"/>
      </rPr>
      <t xml:space="preserve">朗賢峯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IIB</t>
    </r>
    <r>
      <rPr>
        <sz val="10"/>
        <rFont val="Noto Sans CJK SC"/>
        <family val="2"/>
      </rPr>
      <t xml:space="preserve">期</t>
    </r>
    <r>
      <rPr>
        <sz val="10"/>
        <rFont val="Arial"/>
        <family val="0"/>
        <charset val="1"/>
      </rPr>
      <t xml:space="preserve">)5B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忠孝街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)</t>
    </r>
  </si>
  <si>
    <t xml:space="preserve">E26694</t>
  </si>
  <si>
    <t xml:space="preserve">ONMANTIN (PHASE IIB) TOWER 6A</t>
  </si>
  <si>
    <r>
      <rPr>
        <sz val="10"/>
        <rFont val="Noto Sans CJK SC"/>
        <family val="2"/>
      </rPr>
      <t xml:space="preserve">朗賢峯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IIB</t>
    </r>
    <r>
      <rPr>
        <sz val="10"/>
        <rFont val="Noto Sans CJK SC"/>
        <family val="2"/>
      </rPr>
      <t xml:space="preserve">期</t>
    </r>
    <r>
      <rPr>
        <sz val="10"/>
        <rFont val="Arial"/>
        <family val="0"/>
        <charset val="1"/>
      </rPr>
      <t xml:space="preserve">)6A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忠孝街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)</t>
    </r>
  </si>
  <si>
    <t xml:space="preserve">E26695</t>
  </si>
  <si>
    <t xml:space="preserve">ONMANTIN (PHASE IIB) TOWER 6B</t>
  </si>
  <si>
    <r>
      <rPr>
        <sz val="10"/>
        <rFont val="Noto Sans CJK SC"/>
        <family val="2"/>
      </rPr>
      <t xml:space="preserve">朗賢峯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IIB</t>
    </r>
    <r>
      <rPr>
        <sz val="10"/>
        <rFont val="Noto Sans CJK SC"/>
        <family val="2"/>
      </rPr>
      <t xml:space="preserve">期</t>
    </r>
    <r>
      <rPr>
        <sz val="10"/>
        <rFont val="Arial"/>
        <family val="0"/>
        <charset val="1"/>
      </rPr>
      <t xml:space="preserve">)6B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忠孝街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)</t>
    </r>
  </si>
  <si>
    <t xml:space="preserve">E39899</t>
  </si>
  <si>
    <t xml:space="preserve">TSUI NING GARDEN BLOCK 5</t>
  </si>
  <si>
    <r>
      <rPr>
        <sz val="10"/>
        <rFont val="Noto Sans CJK SC"/>
        <family val="2"/>
      </rPr>
      <t xml:space="preserve">翠寧花園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座</t>
    </r>
  </si>
  <si>
    <t xml:space="preserve">Tuen Mun Tai Lam</t>
  </si>
  <si>
    <t xml:space="preserve">NT-TM</t>
  </si>
  <si>
    <t xml:space="preserve">NT684-1</t>
  </si>
  <si>
    <t xml:space="preserve">same estate as E39896, E39897, E39898</t>
  </si>
  <si>
    <t xml:space="preserve">E82713</t>
  </si>
  <si>
    <t xml:space="preserve">FIORI (DELIVERY TO GROUND FLOOR ONLY)</t>
  </si>
  <si>
    <r>
      <rPr>
        <sz val="10"/>
        <rFont val="Noto Sans CJK SC"/>
        <family val="2"/>
      </rPr>
      <t xml:space="preserve">綠悅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</si>
  <si>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Ping Shan</t>
  </si>
  <si>
    <t xml:space="preserve">NT715-1</t>
  </si>
  <si>
    <t xml:space="preserve">same estate as E30549</t>
  </si>
  <si>
    <t xml:space="preserve">E61333</t>
  </si>
  <si>
    <t xml:space="preserve">FIORI BLOCK 5 (DELIVERY TO GROUND FLOOR ONLY)</t>
  </si>
  <si>
    <r>
      <rPr>
        <sz val="10"/>
        <rFont val="Noto Sans CJK SC"/>
        <family val="2"/>
      </rPr>
      <t xml:space="preserve">綠悅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座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</si>
  <si>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E61332</t>
  </si>
  <si>
    <t xml:space="preserve">FIORI BLOCK 3 (DELIVERY TO GROUND FLOOR ONLY)</t>
  </si>
  <si>
    <r>
      <rPr>
        <sz val="10"/>
        <rFont val="Noto Sans CJK SC"/>
        <family val="2"/>
      </rPr>
      <t xml:space="preserve">綠悅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座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</si>
  <si>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E61334</t>
  </si>
  <si>
    <t xml:space="preserve">FIORI BLOCK 6 (DELIVERY TO GROUND FLOOR ONLY)</t>
  </si>
  <si>
    <r>
      <rPr>
        <sz val="10"/>
        <rFont val="Noto Sans CJK SC"/>
        <family val="2"/>
      </rPr>
      <t xml:space="preserve">綠悅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座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</si>
  <si>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E61331</t>
  </si>
  <si>
    <t xml:space="preserve">FIORI BLOCK 2 (DELIVERY TO GROUND FLOOR ONLY)</t>
  </si>
  <si>
    <r>
      <rPr>
        <sz val="10"/>
        <rFont val="Noto Sans CJK SC"/>
        <family val="2"/>
      </rPr>
      <t xml:space="preserve">綠悅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座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</si>
  <si>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E28437</t>
  </si>
  <si>
    <t xml:space="preserve">JUMBO PLAZA</t>
  </si>
  <si>
    <t xml:space="preserve">珍寶廣場</t>
  </si>
  <si>
    <t xml:space="preserve">Sheung Shui</t>
  </si>
  <si>
    <t xml:space="preserve">NT-ST</t>
  </si>
  <si>
    <t xml:space="preserve">NT402-1</t>
  </si>
  <si>
    <t xml:space="preserve">zone-centre</t>
  </si>
  <si>
    <t xml:space="preserve">low</t>
  </si>
  <si>
    <t xml:space="preserve">placed at the centre of area Sheung Shui — verify address</t>
  </si>
  <si>
    <t xml:space="preserve">E41563</t>
  </si>
  <si>
    <t xml:space="preserve">CECES ORGANIZED AETNA PRESCHOOL</t>
  </si>
  <si>
    <t xml:space="preserve">幼聯主辦安泰幼兒學校</t>
  </si>
  <si>
    <t xml:space="preserve">Tin Shui Wai</t>
  </si>
  <si>
    <t xml:space="preserve">NT639-1</t>
  </si>
  <si>
    <t xml:space="preserve">placed at the centre of zone NT639-1 — verify address</t>
  </si>
  <si>
    <t xml:space="preserve">E41805</t>
  </si>
  <si>
    <t xml:space="preserve">CARITAS LOK KAN SCHOOL</t>
  </si>
  <si>
    <t xml:space="preserve">明愛樂勤學校</t>
  </si>
  <si>
    <t xml:space="preserve">NT646-1</t>
  </si>
  <si>
    <t xml:space="preserve">placed at the centre of zone NT646-1 — verify address</t>
  </si>
  <si>
    <t xml:space="preserve">E31327</t>
  </si>
  <si>
    <t xml:space="preserve">BUS DEPOT</t>
  </si>
  <si>
    <t xml:space="preserve">巴士廠</t>
  </si>
  <si>
    <t xml:space="preserve">NT644-1</t>
  </si>
  <si>
    <t xml:space="preserve">placed at the centre of zone NT644-1 — verify address</t>
  </si>
  <si>
    <t xml:space="preserve">E43321</t>
  </si>
  <si>
    <t xml:space="preserve">LINGNAN INSTITUTE OF FURTHER EDUCATION- TSIM SHA TSUI HOUSTON EDUCATION CENTRE</t>
  </si>
  <si>
    <r>
      <rPr>
        <sz val="10"/>
        <rFont val="Noto Sans CJK SC"/>
        <family val="2"/>
      </rPr>
      <t xml:space="preserve">嶺南大學持續進修學院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尖沙咀好時教育中心</t>
    </r>
  </si>
  <si>
    <t xml:space="preserve">Tsim Sha Tsui</t>
  </si>
  <si>
    <t xml:space="preserve">KN668-1</t>
  </si>
  <si>
    <t xml:space="preserve">placed at the centre of zone KN668-1 — verify address</t>
  </si>
  <si>
    <t xml:space="preserve">E42699</t>
  </si>
  <si>
    <t xml:space="preserve">THE ELCHK YUEN LONG LUTHERAN SECONDARY SCHOOL</t>
  </si>
  <si>
    <t xml:space="preserve">基督教香港信義會元朗信義中學</t>
  </si>
  <si>
    <t xml:space="preserve">NT643-1</t>
  </si>
  <si>
    <t xml:space="preserve">placed at the centre of zone NT643-1 — verify address</t>
  </si>
  <si>
    <t xml:space="preserve">E25155</t>
  </si>
  <si>
    <t xml:space="preserve">KIN FUNG HOUSE(DELIVERY TO GROUND FLOOR ONLY)</t>
  </si>
  <si>
    <r>
      <rPr>
        <sz val="10"/>
        <rFont val="Noto Sans CJK SC"/>
        <family val="2"/>
      </rPr>
      <t xml:space="preserve">建豐唐樓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</si>
  <si>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Kwun Tong</t>
  </si>
  <si>
    <t xml:space="preserve">ETX</t>
  </si>
  <si>
    <t xml:space="preserve">KN485-1</t>
  </si>
  <si>
    <t xml:space="preserve">placed at the centre of zone KN485-1 — verify address</t>
  </si>
  <si>
    <t xml:space="preserve">E26306</t>
  </si>
  <si>
    <t xml:space="preserve">WING KWONG MANSION</t>
  </si>
  <si>
    <r>
      <rPr>
        <sz val="10"/>
        <rFont val="Noto Sans CJK SC"/>
        <family val="2"/>
      </rPr>
      <t xml:space="preserve">榮光大廈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土瓜灣榮光街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)</t>
    </r>
  </si>
  <si>
    <t xml:space="preserve">To Kwa Wan</t>
  </si>
  <si>
    <t xml:space="preserve">KN581-2</t>
  </si>
  <si>
    <t xml:space="preserve">placed at the centre of zone KN581-2 — verify address</t>
  </si>
  <si>
    <t xml:space="preserve">E41157</t>
  </si>
  <si>
    <t xml:space="preserve">HONG KONG LING LIANG CHURCH SAU TAK KINDERGARTEN(CAMPUS 2)</t>
  </si>
  <si>
    <t xml:space="preserve">香港靈糧堂秀德幼稚園（二校）</t>
  </si>
  <si>
    <t xml:space="preserve">Lai Chi Kok</t>
  </si>
  <si>
    <t xml:space="preserve">WTX</t>
  </si>
  <si>
    <t xml:space="preserve">KN858-1</t>
  </si>
  <si>
    <t xml:space="preserve">placed at the centre of zone KN858-1 — verify address</t>
  </si>
  <si>
    <t xml:space="preserve">E27842</t>
  </si>
  <si>
    <t xml:space="preserve">SHUN FAT MANSION</t>
  </si>
  <si>
    <r>
      <rPr>
        <sz val="10"/>
        <rFont val="Noto Sans CJK SC"/>
        <family val="2"/>
      </rPr>
      <t xml:space="preserve">順發大廈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塘尾黃竹街</t>
    </r>
    <r>
      <rPr>
        <sz val="10"/>
        <rFont val="Arial"/>
        <family val="0"/>
        <charset val="1"/>
      </rPr>
      <t xml:space="preserve">55-57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)</t>
    </r>
  </si>
  <si>
    <t xml:space="preserve">Sham Shui Po</t>
  </si>
  <si>
    <t xml:space="preserve">KN838-1</t>
  </si>
  <si>
    <t xml:space="preserve">placed at the centre of zone KN838-1 — verify address</t>
  </si>
  <si>
    <t xml:space="preserve">E30858</t>
  </si>
  <si>
    <t xml:space="preserve">NGAR LOK YUEN (DELIVERY TO GROUND FLOOR ONLY)</t>
  </si>
  <si>
    <r>
      <rPr>
        <sz val="10"/>
        <rFont val="Noto Sans CJK SC"/>
        <family val="2"/>
      </rPr>
      <t xml:space="preserve">雅樂園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</si>
  <si>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Yuen Long</t>
  </si>
  <si>
    <t xml:space="preserve">NT730-1</t>
  </si>
  <si>
    <t xml:space="preserve">placed at the centre of zone NT730-1 — verify address</t>
  </si>
  <si>
    <t xml:space="preserve">E87001</t>
  </si>
  <si>
    <t xml:space="preserve">NGAR LOK YUEN BLOCK A (DELIVERY TO GROUND FLOOR ONLY)</t>
  </si>
  <si>
    <r>
      <rPr>
        <sz val="10"/>
        <rFont val="Noto Sans CJK SC"/>
        <family val="2"/>
      </rPr>
      <t xml:space="preserve">雅樂園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</si>
  <si>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E87002</t>
  </si>
  <si>
    <t xml:space="preserve">NGAR LOK YUEN BLOCK B (DELIVERY TO GROUND FLOOR ONLY)</t>
  </si>
  <si>
    <r>
      <rPr>
        <sz val="10"/>
        <rFont val="Noto Sans CJK SC"/>
        <family val="2"/>
      </rPr>
      <t xml:space="preserve">雅樂園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</si>
  <si>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E87003</t>
  </si>
  <si>
    <t xml:space="preserve">NGAR LOK YUEN BLOCK C (DELIVERY TO GROUND FLOOR ONLY)</t>
  </si>
  <si>
    <r>
      <rPr>
        <sz val="10"/>
        <rFont val="Noto Sans CJK SC"/>
        <family val="2"/>
      </rPr>
      <t xml:space="preserve">雅樂園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</si>
  <si>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E87004</t>
  </si>
  <si>
    <t xml:space="preserve">NGAR LOK YUEN BLOCK D (DELIVERY TO GROUND FLOOR ONLY)</t>
  </si>
  <si>
    <r>
      <rPr>
        <sz val="10"/>
        <rFont val="Noto Sans CJK SC"/>
        <family val="2"/>
      </rPr>
      <t xml:space="preserve">雅樂園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</si>
  <si>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E87005</t>
  </si>
  <si>
    <t xml:space="preserve">NGAR LOK YUEN BLOCK E (DELIVERY TO GROUND FLOOR ONLY)</t>
  </si>
  <si>
    <r>
      <rPr>
        <sz val="10"/>
        <rFont val="Noto Sans CJK SC"/>
        <family val="2"/>
      </rPr>
      <t xml:space="preserve">雅樂園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</si>
  <si>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E87006</t>
  </si>
  <si>
    <t xml:space="preserve">NGAR LOK YUEN BLOCK F (DELIVERY TO GROUND FLOOR ONLY)</t>
  </si>
  <si>
    <r>
      <rPr>
        <sz val="10"/>
        <rFont val="Noto Sans CJK SC"/>
        <family val="2"/>
      </rPr>
      <t xml:space="preserve">雅樂園</t>
    </r>
    <r>
      <rPr>
        <sz val="10"/>
        <rFont val="Arial"/>
        <family val="0"/>
        <charset val="1"/>
      </rPr>
      <t xml:space="preserve">F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</si>
  <si>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E87007</t>
  </si>
  <si>
    <t xml:space="preserve">NGAR LOK YUEN BLOCK G (DELIVERY TO GROUND FLOOR ONLY)</t>
  </si>
  <si>
    <r>
      <rPr>
        <sz val="10"/>
        <rFont val="Noto Sans CJK SC"/>
        <family val="2"/>
      </rPr>
      <t xml:space="preserve">雅樂園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</si>
  <si>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E87008</t>
  </si>
  <si>
    <t xml:space="preserve">NGAR LOK YUEN BLOCK H (DELIVERY TO GROUND FLOOR ONLY)</t>
  </si>
  <si>
    <r>
      <rPr>
        <sz val="10"/>
        <rFont val="Noto Sans CJK SC"/>
        <family val="2"/>
      </rPr>
      <t xml:space="preserve">雅樂園</t>
    </r>
    <r>
      <rPr>
        <sz val="10"/>
        <rFont val="Arial"/>
        <family val="0"/>
        <charset val="1"/>
      </rPr>
      <t xml:space="preserve">H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</si>
  <si>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E87009</t>
  </si>
  <si>
    <t xml:space="preserve">NGAR LOK YUEN BLOCK I (DELIVERY TO GROUND FLOOR ONLY)</t>
  </si>
  <si>
    <r>
      <rPr>
        <sz val="10"/>
        <rFont val="Noto Sans CJK SC"/>
        <family val="2"/>
      </rPr>
      <t xml:space="preserve">雅樂園</t>
    </r>
    <r>
      <rPr>
        <sz val="10"/>
        <rFont val="Arial"/>
        <family val="0"/>
        <charset val="1"/>
      </rPr>
      <t xml:space="preserve">I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</si>
  <si>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E87010</t>
  </si>
  <si>
    <t xml:space="preserve">NGAR LOK YUEN BLOCK J (DELIVERY TO GROUND FLOOR ONLY)</t>
  </si>
  <si>
    <r>
      <rPr>
        <sz val="10"/>
        <rFont val="Noto Sans CJK SC"/>
        <family val="2"/>
      </rPr>
      <t xml:space="preserve">雅樂園</t>
    </r>
    <r>
      <rPr>
        <sz val="10"/>
        <rFont val="Arial"/>
        <family val="0"/>
        <charset val="1"/>
      </rPr>
      <t xml:space="preserve">J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</si>
  <si>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E87011</t>
  </si>
  <si>
    <t xml:space="preserve">NGAR LOK YUEN BLOCK K (DELIVERY TO GROUND FLOOR ONLY)</t>
  </si>
  <si>
    <r>
      <rPr>
        <sz val="10"/>
        <rFont val="Noto Sans CJK SC"/>
        <family val="2"/>
      </rPr>
      <t xml:space="preserve">雅樂園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</si>
  <si>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E41386</t>
  </si>
  <si>
    <t xml:space="preserve">THE NEIGHBOURHOOD ADVICE-ACTION COUNCIL FANLING DAY NURSERY</t>
  </si>
  <si>
    <t xml:space="preserve">鄰舍輔導會粉嶺幼兒園</t>
  </si>
  <si>
    <t xml:space="preserve">Fanling</t>
  </si>
  <si>
    <t xml:space="preserve">NT461-1</t>
  </si>
  <si>
    <t xml:space="preserve">placed at the centre of zone NT461-1 — verify address</t>
  </si>
  <si>
    <t xml:space="preserve">E62342</t>
  </si>
  <si>
    <t xml:space="preserve">EVERGREEN GARDEN (DELIVERY TO GROUND FLOOR ONLY)</t>
  </si>
  <si>
    <r>
      <rPr>
        <sz val="10"/>
        <rFont val="Noto Sans CJK SC"/>
        <family val="2"/>
      </rPr>
      <t xml:space="preserve">松柏花園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</si>
  <si>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E86827</t>
  </si>
  <si>
    <t xml:space="preserve">EVERGREEN GARDEN BLOCK B (DELIVERY TO GROUND FLOOR ONLY)</t>
  </si>
  <si>
    <r>
      <rPr>
        <sz val="10"/>
        <rFont val="Noto Sans CJK SC"/>
        <family val="2"/>
      </rPr>
      <t xml:space="preserve">松栢花園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</si>
  <si>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E86828</t>
  </si>
  <si>
    <t xml:space="preserve">EVERGREEN GARDEN BLOCK C (DELIVERY TO GROUND FLOOR ONLY)</t>
  </si>
  <si>
    <r>
      <rPr>
        <sz val="10"/>
        <rFont val="Noto Sans CJK SC"/>
        <family val="2"/>
      </rPr>
      <t xml:space="preserve">松栢花園 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</si>
  <si>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E86829</t>
  </si>
  <si>
    <t xml:space="preserve">EVERGREEN GARDEN BLOCK E (DELIVERY TO GROUND FLOOR ONLY)</t>
  </si>
  <si>
    <r>
      <rPr>
        <sz val="10"/>
        <rFont val="Noto Sans CJK SC"/>
        <family val="2"/>
      </rPr>
      <t xml:space="preserve">松栢花園 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</si>
  <si>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E86830</t>
  </si>
  <si>
    <t xml:space="preserve">EVERGREEN GARDEN BLOCK G (DELIVERY TO GROUND FLOOR ONLY)</t>
  </si>
  <si>
    <r>
      <rPr>
        <sz val="10"/>
        <rFont val="Noto Sans CJK SC"/>
        <family val="2"/>
      </rPr>
      <t xml:space="preserve">松栢花園 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</si>
  <si>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E29418</t>
  </si>
  <si>
    <t xml:space="preserve">KAM FAI BUILDING (1-3 CHIK SAU LANE) (DELIVERY TO GROUND FLOOR ONLY)</t>
  </si>
  <si>
    <r>
      <rPr>
        <sz val="10"/>
        <rFont val="Noto Sans CJK SC"/>
        <family val="2"/>
      </rPr>
      <t xml:space="preserve">金輝樓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大圍積壽裡</t>
    </r>
    <r>
      <rPr>
        <sz val="10"/>
        <rFont val="Arial"/>
        <family val="0"/>
        <charset val="1"/>
      </rPr>
      <t xml:space="preserve">1-3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)(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</si>
  <si>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Tai Wai</t>
  </si>
  <si>
    <t xml:space="preserve">NT-TSM</t>
  </si>
  <si>
    <t xml:space="preserve">NT202-1</t>
  </si>
  <si>
    <t xml:space="preserve">placed at the centre of zone NT202-1 — verify address</t>
  </si>
  <si>
    <t xml:space="preserve">E28543</t>
  </si>
  <si>
    <t xml:space="preserve">FOO KWAI HOUSE (DELIVERY TO GROUND FLOOR ONLY)</t>
  </si>
  <si>
    <r>
      <rPr>
        <sz val="10"/>
        <rFont val="Noto Sans CJK SC"/>
        <family val="2"/>
      </rPr>
      <t xml:space="preserve">富貴樓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</si>
  <si>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NT456-1</t>
  </si>
  <si>
    <t xml:space="preserve">placed at the centre of zone NT456-1 — verify address</t>
  </si>
  <si>
    <t xml:space="preserve">E82108</t>
  </si>
  <si>
    <t xml:space="preserve">Anchors Kindergarten &amp; International Nursery (Constellation Cove Campus)</t>
  </si>
  <si>
    <t xml:space="preserve">安基司國際幼兒園</t>
  </si>
  <si>
    <t xml:space="preserve">Kam Tin</t>
  </si>
  <si>
    <t xml:space="preserve">NT728-4</t>
  </si>
  <si>
    <t xml:space="preserve">placed at the centre of zone NT728-4 — verify address</t>
  </si>
  <si>
    <t xml:space="preserve">E34596</t>
  </si>
  <si>
    <t xml:space="preserve">TAI PO INDUSTRIAL ESTATE ZAMA INDUSTRIES CO., LTD.</t>
  </si>
  <si>
    <t xml:space="preserve">駿馬精密有限公司</t>
  </si>
  <si>
    <t xml:space="preserve">Tai Po</t>
  </si>
  <si>
    <t xml:space="preserve">NT428-1</t>
  </si>
  <si>
    <t xml:space="preserve">placed at the centre of zone NT428-1 — verify address</t>
  </si>
  <si>
    <t xml:space="preserve">E28859</t>
  </si>
  <si>
    <t xml:space="preserve">KWONG ON BUILDING</t>
  </si>
  <si>
    <t xml:space="preserve">廣安大廈</t>
  </si>
  <si>
    <t xml:space="preserve">Tai Po Market</t>
  </si>
  <si>
    <t xml:space="preserve">NT427-1</t>
  </si>
  <si>
    <t xml:space="preserve">placed at the centre of zone NT427-1 — verify address</t>
  </si>
  <si>
    <t xml:space="preserve">E60715</t>
  </si>
  <si>
    <t xml:space="preserve">FUI SHA WAI (DELIVERY TO TAI HANG VILLAGE OFFICE ONLY)</t>
  </si>
  <si>
    <r>
      <rPr>
        <sz val="10"/>
        <rFont val="Noto Sans CJK SC"/>
        <family val="2"/>
      </rPr>
      <t xml:space="preserve">灰沙圍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只限泰亨鄉公所交收</t>
    </r>
    <r>
      <rPr>
        <sz val="10"/>
        <rFont val="Arial"/>
        <family val="0"/>
        <charset val="1"/>
      </rPr>
      <t xml:space="preserve">)</t>
    </r>
  </si>
  <si>
    <t xml:space="preserve">Tai Wo</t>
  </si>
  <si>
    <t xml:space="preserve">NT446-2</t>
  </si>
  <si>
    <t xml:space="preserve">placed at the centre of zone NT446-2 — verify address</t>
  </si>
  <si>
    <t xml:space="preserve">E25442</t>
  </si>
  <si>
    <t xml:space="preserve">GOMME HOUSE</t>
  </si>
  <si>
    <r>
      <rPr>
        <sz val="10"/>
        <rFont val="Noto Sans CJK SC"/>
        <family val="2"/>
      </rPr>
      <t xml:space="preserve">高美樓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慈雲山蒲崗村道</t>
    </r>
    <r>
      <rPr>
        <sz val="10"/>
        <rFont val="Arial"/>
        <family val="0"/>
        <charset val="1"/>
      </rPr>
      <t xml:space="preserve">163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)</t>
    </r>
  </si>
  <si>
    <t xml:space="preserve">Tsz Wan Shan</t>
  </si>
  <si>
    <t xml:space="preserve">KN445-1</t>
  </si>
  <si>
    <t xml:space="preserve">placed at the centre of zone KN445-1 — verify address</t>
  </si>
  <si>
    <t xml:space="preserve">E30218</t>
  </si>
  <si>
    <t xml:space="preserve">TAK CHEONG MANSION(DELIVERY TO GROUND FLOOR ONLY)</t>
  </si>
  <si>
    <r>
      <rPr>
        <sz val="10"/>
        <rFont val="Noto Sans CJK SC"/>
        <family val="2"/>
      </rPr>
      <t xml:space="preserve">德昌樓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荃灣川龍街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)(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</si>
  <si>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Tsuen Wan</t>
  </si>
  <si>
    <t xml:space="preserve">NT-TW</t>
  </si>
  <si>
    <t xml:space="preserve">NT844-1</t>
  </si>
  <si>
    <t xml:space="preserve">placed at the centre of zone NT844-1 — verify address</t>
  </si>
  <si>
    <t xml:space="preserve">E62376</t>
  </si>
  <si>
    <t xml:space="preserve">WAN TOI SHAN TSOI YUEN TSUEN (DELIVERY TO THE INTERSECTION OF LEUNG SHING ROAD ONLY)</t>
  </si>
  <si>
    <r>
      <rPr>
        <sz val="10"/>
        <rFont val="Noto Sans CJK SC"/>
        <family val="2"/>
      </rPr>
      <t xml:space="preserve">橫台山菜園村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只限梁盛路路口交收</t>
    </r>
    <r>
      <rPr>
        <sz val="10"/>
        <rFont val="Arial"/>
        <family val="0"/>
        <charset val="1"/>
      </rPr>
      <t xml:space="preserve">)</t>
    </r>
  </si>
  <si>
    <t xml:space="preserve">NT729-5</t>
  </si>
  <si>
    <t xml:space="preserve">placed at the centre of zone NT729-5 — verify address</t>
  </si>
  <si>
    <t xml:space="preserve">E34479</t>
  </si>
  <si>
    <t xml:space="preserve">THE GARDEN COMPANY LIMITED</t>
  </si>
  <si>
    <t xml:space="preserve">嘉頓有限公司</t>
  </si>
  <si>
    <t xml:space="preserve">Sham Tseng</t>
  </si>
  <si>
    <t xml:space="preserve">NT818-1</t>
  </si>
  <si>
    <t xml:space="preserve">placed at the centre of zone NT818-1 — verify address</t>
  </si>
  <si>
    <t xml:space="preserve">E31018</t>
  </si>
  <si>
    <t xml:space="preserve">TELEPHONE EXCHANGE (DELIVERY TO ROADSIDE ONLY)</t>
  </si>
  <si>
    <r>
      <rPr>
        <sz val="10"/>
        <rFont val="Noto Sans CJK SC"/>
        <family val="2"/>
      </rPr>
      <t xml:space="preserve">電話機房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只限路邊交收</t>
    </r>
    <r>
      <rPr>
        <sz val="10"/>
        <rFont val="Arial"/>
        <family val="0"/>
        <charset val="1"/>
      </rPr>
      <t xml:space="preserve">)</t>
    </r>
  </si>
  <si>
    <t xml:space="preserve">E30016</t>
  </si>
  <si>
    <t xml:space="preserve">FU WAH BUILDING(DELIVERY TO GROUND FLOOR ONLY)</t>
  </si>
  <si>
    <r>
      <rPr>
        <sz val="10"/>
        <rFont val="Noto Sans CJK SC"/>
        <family val="2"/>
      </rPr>
      <t xml:space="preserve">富華樓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荃灣鱟地坊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)(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</si>
  <si>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E41471</t>
  </si>
  <si>
    <t xml:space="preserve">JOYFUL WORLD KINDERGARTEN (SHA TIN)</t>
  </si>
  <si>
    <t xml:space="preserve">心怡天地幼稚園（沙田）</t>
  </si>
  <si>
    <t xml:space="preserve">Shatin</t>
  </si>
  <si>
    <t xml:space="preserve">NT262-1</t>
  </si>
  <si>
    <t xml:space="preserve">placed at the centre of zone NT262-1 — verify address</t>
  </si>
  <si>
    <t xml:space="preserve">E32929</t>
  </si>
  <si>
    <t xml:space="preserve">FANLING TSZ TONG TSUEN (DELIVERY TO REFUSE ROOM NEAR ANCSETRAL HALL ONLY)</t>
  </si>
  <si>
    <r>
      <rPr>
        <sz val="10"/>
        <rFont val="Noto Sans CJK SC"/>
        <family val="2"/>
      </rPr>
      <t xml:space="preserve">粉嶺祠堂村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只限近祠堂垃圾站交收</t>
    </r>
    <r>
      <rPr>
        <sz val="10"/>
        <rFont val="Arial"/>
        <family val="0"/>
        <charset val="1"/>
      </rPr>
      <t xml:space="preserve">)</t>
    </r>
  </si>
  <si>
    <t xml:space="preserve">NT466-1</t>
  </si>
  <si>
    <t xml:space="preserve">placed at the centre of zone NT466-1 — verify address</t>
  </si>
  <si>
    <t xml:space="preserve">E34733</t>
  </si>
  <si>
    <t xml:space="preserve">YUEN LONG INDUSTRIAL ESTATE SAN MIGUEL BREWERY HONG KONG LTD. (DELIVERY TO ROADSIDE ONLY)</t>
  </si>
  <si>
    <r>
      <rPr>
        <sz val="10"/>
        <rFont val="Noto Sans CJK SC"/>
        <family val="2"/>
      </rPr>
      <t xml:space="preserve">香港生力啤酒廠有限公司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只限路邊交收</t>
    </r>
    <r>
      <rPr>
        <sz val="10"/>
        <rFont val="Arial"/>
        <family val="0"/>
        <charset val="1"/>
      </rPr>
      <t xml:space="preserve">)</t>
    </r>
  </si>
  <si>
    <t xml:space="preserve">NT607-1</t>
  </si>
  <si>
    <t xml:space="preserve">placed at the centre of zone NT607-1 — verify address</t>
  </si>
  <si>
    <t xml:space="preserve">E62378</t>
  </si>
  <si>
    <t xml:space="preserve">KAM TIN TAI WO VILLAGE</t>
  </si>
  <si>
    <t xml:space="preserve">錦田大窩村</t>
  </si>
  <si>
    <t xml:space="preserve">NT729-6</t>
  </si>
  <si>
    <t xml:space="preserve">placed at the centre of zone NT729-6 — verify address</t>
  </si>
  <si>
    <t xml:space="preserve">E62366</t>
  </si>
  <si>
    <t xml:space="preserve">SHANG YU (DELIVER TO SHEUNG CHE VILLAGE ONLY)</t>
  </si>
  <si>
    <r>
      <rPr>
        <sz val="10"/>
        <rFont val="Noto Sans CJK SC"/>
        <family val="2"/>
      </rPr>
      <t xml:space="preserve">尚譽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只限上輋村村公所交收</t>
    </r>
    <r>
      <rPr>
        <sz val="10"/>
        <rFont val="Arial"/>
        <family val="0"/>
        <charset val="1"/>
      </rPr>
      <t xml:space="preserve">)</t>
    </r>
  </si>
  <si>
    <t xml:space="preserve">E28031</t>
  </si>
  <si>
    <t xml:space="preserve">TAI ON COURT (DELIVERY TO GROUND FLOOR ONLY)</t>
  </si>
  <si>
    <r>
      <rPr>
        <sz val="10"/>
        <rFont val="Noto Sans CJK SC"/>
        <family val="2"/>
      </rPr>
      <t xml:space="preserve">泰安閣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太子大南街</t>
    </r>
    <r>
      <rPr>
        <sz val="10"/>
        <rFont val="Arial"/>
        <family val="0"/>
        <charset val="1"/>
      </rPr>
      <t xml:space="preserve">18-22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</si>
  <si>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Prince Edward</t>
  </si>
  <si>
    <t xml:space="preserve">KN657-1</t>
  </si>
  <si>
    <t xml:space="preserve">placed at the centre of zone KN657-1 — verify address</t>
  </si>
  <si>
    <t xml:space="preserve">E83405</t>
  </si>
  <si>
    <t xml:space="preserve">FUI YIU HA VILLAGE(DELIVERY TO GROUND FLOOR ONLY)</t>
  </si>
  <si>
    <r>
      <rPr>
        <sz val="10"/>
        <rFont val="Noto Sans CJK SC"/>
        <family val="2"/>
      </rPr>
      <t xml:space="preserve">灰窰下村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</si>
  <si>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Sai Kung</t>
  </si>
  <si>
    <t xml:space="preserve">ETK</t>
  </si>
  <si>
    <t xml:space="preserve">KN290-1</t>
  </si>
  <si>
    <t xml:space="preserve">placed at the centre of zone KN290-1 — verify address</t>
  </si>
  <si>
    <t xml:space="preserve">E84128</t>
  </si>
  <si>
    <t xml:space="preserve">FUK HING LEI (DELIVERY TO SAN WAI TSUEN VILLAGE OFFICE ONLY)</t>
  </si>
  <si>
    <r>
      <rPr>
        <sz val="10"/>
        <rFont val="Noto Sans CJK SC"/>
        <family val="2"/>
      </rPr>
      <t xml:space="preserve">福興里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只限新田新圍村村公所交收</t>
    </r>
    <r>
      <rPr>
        <sz val="10"/>
        <rFont val="Arial"/>
        <family val="0"/>
        <charset val="1"/>
      </rPr>
      <t xml:space="preserve">)</t>
    </r>
  </si>
  <si>
    <t xml:space="preserve">Ha Tsuen</t>
  </si>
  <si>
    <t xml:space="preserve">NT731-1</t>
  </si>
  <si>
    <t xml:space="preserve">placed at the centre of zone NT731-1 — verify address</t>
  </si>
  <si>
    <t xml:space="preserve">E43217</t>
  </si>
  <si>
    <t xml:space="preserve">CITY UNIVERSITY OF HONG KONG STUDENT RESIDENCE HALL 6 (LEE SHAU KEE HALL) (DELIVERY TO GATEWAY ONLY)</t>
  </si>
  <si>
    <r>
      <rPr>
        <sz val="10"/>
        <rFont val="Noto Sans CJK SC"/>
        <family val="2"/>
      </rPr>
      <t xml:space="preserve">香港城市大學學生宿舍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李兆基堂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只限閘口交收</t>
    </r>
    <r>
      <rPr>
        <sz val="10"/>
        <rFont val="Arial"/>
        <family val="0"/>
        <charset val="1"/>
      </rPr>
      <t xml:space="preserve">)</t>
    </r>
  </si>
  <si>
    <t xml:space="preserve">Kowloon Tong</t>
  </si>
  <si>
    <t xml:space="preserve">KN823-1</t>
  </si>
  <si>
    <t xml:space="preserve">placed at the centre of zone KN823-1 — verify address</t>
  </si>
  <si>
    <t xml:space="preserve">E34183</t>
  </si>
  <si>
    <t xml:space="preserve">GOLD CHALET</t>
  </si>
  <si>
    <t xml:space="preserve">金碧小築</t>
  </si>
  <si>
    <t xml:space="preserve">KN299-1</t>
  </si>
  <si>
    <t xml:space="preserve">placed at the centre of zone KN299-1 — verify address</t>
  </si>
  <si>
    <t xml:space="preserve">E58720</t>
  </si>
  <si>
    <t xml:space="preserve">Richmond Garden (DELIVERY TO NAI WAI VILLAGE ARCHWAY ONLY)</t>
  </si>
  <si>
    <r>
      <rPr>
        <sz val="10"/>
        <rFont val="Noto Sans CJK SC"/>
        <family val="2"/>
      </rPr>
      <t xml:space="preserve">富澤豪庭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只限泥圍牌坊交收</t>
    </r>
    <r>
      <rPr>
        <sz val="10"/>
        <rFont val="Arial"/>
        <family val="0"/>
        <charset val="1"/>
      </rPr>
      <t xml:space="preserve">)</t>
    </r>
  </si>
  <si>
    <t xml:space="preserve">Tuen Mun</t>
  </si>
  <si>
    <t xml:space="preserve">NT722-3</t>
  </si>
  <si>
    <t xml:space="preserve">placed at the centre of zone NT722-3 — verify address</t>
  </si>
  <si>
    <t xml:space="preserve">E62344</t>
  </si>
  <si>
    <t xml:space="preserve">DRAGON GARDEN (DELIVERY TO GROUND FLOOR ONLY)</t>
  </si>
  <si>
    <r>
      <rPr>
        <sz val="10"/>
        <rFont val="Noto Sans CJK SC"/>
        <family val="2"/>
      </rPr>
      <t xml:space="preserve">龍騰花園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</si>
  <si>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E86992</t>
  </si>
  <si>
    <t xml:space="preserve">DRAGON GARDEN NO. 47C (DELIVERY TO GROUND FLOOR ONLY)</t>
  </si>
  <si>
    <r>
      <rPr>
        <sz val="10"/>
        <rFont val="Noto Sans CJK SC"/>
        <family val="2"/>
      </rPr>
      <t xml:space="preserve">龍騰閣花園</t>
    </r>
    <r>
      <rPr>
        <sz val="10"/>
        <rFont val="Arial"/>
        <family val="0"/>
        <charset val="1"/>
      </rPr>
      <t xml:space="preserve">47C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</si>
  <si>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E86993</t>
  </si>
  <si>
    <t xml:space="preserve">DRAGON GARDEN NO. 47D (DELIVERY TO GROUND FLOOR ONLY)</t>
  </si>
  <si>
    <r>
      <rPr>
        <sz val="10"/>
        <rFont val="Noto Sans CJK SC"/>
        <family val="2"/>
      </rPr>
      <t xml:space="preserve">龍騰閣花園</t>
    </r>
    <r>
      <rPr>
        <sz val="10"/>
        <rFont val="Arial"/>
        <family val="0"/>
        <charset val="1"/>
      </rPr>
      <t xml:space="preserve">47D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</si>
  <si>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E86994</t>
  </si>
  <si>
    <t xml:space="preserve">DRAGON GARDEN NO. 47E (DELIVERY TO GROUND FLOOR ONLY)</t>
  </si>
  <si>
    <r>
      <rPr>
        <sz val="10"/>
        <rFont val="Noto Sans CJK SC"/>
        <family val="2"/>
      </rPr>
      <t xml:space="preserve">龍騰閣花園</t>
    </r>
    <r>
      <rPr>
        <sz val="10"/>
        <rFont val="Arial"/>
        <family val="0"/>
        <charset val="1"/>
      </rPr>
      <t xml:space="preserve">47E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</si>
  <si>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E86995</t>
  </si>
  <si>
    <t xml:space="preserve">DRAGON GARDEN NO. 47F (DELIVERY TO GROUND FLOOR ONLY)</t>
  </si>
  <si>
    <r>
      <rPr>
        <sz val="10"/>
        <rFont val="Noto Sans CJK SC"/>
        <family val="2"/>
      </rPr>
      <t xml:space="preserve">龍騰閣花園</t>
    </r>
    <r>
      <rPr>
        <sz val="10"/>
        <rFont val="Arial"/>
        <family val="0"/>
        <charset val="1"/>
      </rPr>
      <t xml:space="preserve">47F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</si>
  <si>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E86996</t>
  </si>
  <si>
    <t xml:space="preserve">DRAGON GARDEN NO. 47H (DELIVERY TO GROUND FLOOR ONLY)</t>
  </si>
  <si>
    <r>
      <rPr>
        <sz val="10"/>
        <rFont val="Noto Sans CJK SC"/>
        <family val="2"/>
      </rPr>
      <t xml:space="preserve">龍騰閣花園</t>
    </r>
    <r>
      <rPr>
        <sz val="10"/>
        <rFont val="Arial"/>
        <family val="0"/>
        <charset val="1"/>
      </rPr>
      <t xml:space="preserve">47H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</si>
  <si>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E86997</t>
  </si>
  <si>
    <t xml:space="preserve">DRAGON GARDEN NO. 47J (DELIVERY TO GROUND FLOOR ONLY)</t>
  </si>
  <si>
    <r>
      <rPr>
        <sz val="10"/>
        <rFont val="Noto Sans CJK SC"/>
        <family val="2"/>
      </rPr>
      <t xml:space="preserve">龍騰閣花園</t>
    </r>
    <r>
      <rPr>
        <sz val="10"/>
        <rFont val="Arial"/>
        <family val="0"/>
        <charset val="1"/>
      </rPr>
      <t xml:space="preserve">47J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</si>
  <si>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E86998</t>
  </si>
  <si>
    <t xml:space="preserve">DRAGON GARDEN NO. 47K (DELIVERY TO GROUND FLOOR ONLY)</t>
  </si>
  <si>
    <r>
      <rPr>
        <sz val="10"/>
        <rFont val="Noto Sans CJK SC"/>
        <family val="2"/>
      </rPr>
      <t xml:space="preserve">龍騰閣花園</t>
    </r>
    <r>
      <rPr>
        <sz val="10"/>
        <rFont val="Arial"/>
        <family val="0"/>
        <charset val="1"/>
      </rPr>
      <t xml:space="preserve">47K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</si>
  <si>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E86999</t>
  </si>
  <si>
    <t xml:space="preserve">DRAGON GARDEN NO. 47L (DELIVERY TO GROUND FLOOR ONLY)</t>
  </si>
  <si>
    <r>
      <rPr>
        <sz val="10"/>
        <rFont val="Noto Sans CJK SC"/>
        <family val="2"/>
      </rPr>
      <t xml:space="preserve">龍騰閣花園</t>
    </r>
    <r>
      <rPr>
        <sz val="10"/>
        <rFont val="Arial"/>
        <family val="0"/>
        <charset val="1"/>
      </rPr>
      <t xml:space="preserve">47L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</si>
  <si>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E87000</t>
  </si>
  <si>
    <t xml:space="preserve">DRAGON GARDEN NO. 47M (DELIVERY TO GROUND FLOOR ONLY)</t>
  </si>
  <si>
    <r>
      <rPr>
        <sz val="10"/>
        <rFont val="Noto Sans CJK SC"/>
        <family val="2"/>
      </rPr>
      <t xml:space="preserve">龍騰閣花園</t>
    </r>
    <r>
      <rPr>
        <sz val="10"/>
        <rFont val="Arial"/>
        <family val="0"/>
        <charset val="1"/>
      </rPr>
      <t xml:space="preserve">47M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</si>
  <si>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E41210</t>
  </si>
  <si>
    <t xml:space="preserve">PEACE EVANGELICAL CENTRE KINDERGARTEN (NGAU TAU KOK)</t>
  </si>
  <si>
    <t xml:space="preserve">平安福音堂幼稚園（牛頭角）</t>
  </si>
  <si>
    <t xml:space="preserve">Ngau Tau Kok</t>
  </si>
  <si>
    <t xml:space="preserve">KN464-1</t>
  </si>
  <si>
    <t xml:space="preserve">placed at the centre of zone KN464-1 — verify address</t>
  </si>
  <si>
    <t xml:space="preserve">E62346</t>
  </si>
  <si>
    <t xml:space="preserve">CHI FU GARDEN (DELIVERY TO GROUND FLOOR ONLY)</t>
  </si>
  <si>
    <r>
      <rPr>
        <sz val="10"/>
        <rFont val="Noto Sans CJK SC"/>
        <family val="2"/>
      </rPr>
      <t xml:space="preserve">緻富花園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</si>
  <si>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NT730-4</t>
  </si>
  <si>
    <t xml:space="preserve">placed at the centre of zone NT730-4 — verify address</t>
  </si>
  <si>
    <t xml:space="preserve">E86889</t>
  </si>
  <si>
    <t xml:space="preserve">CHI FU GARDEN NO. 62A (DELIVERY TO GROUND FLOOR ONLY)</t>
  </si>
  <si>
    <r>
      <rPr>
        <sz val="10"/>
        <rFont val="Noto Sans CJK SC"/>
        <family val="2"/>
      </rPr>
      <t xml:space="preserve">緻富花園</t>
    </r>
    <r>
      <rPr>
        <sz val="10"/>
        <rFont val="Arial"/>
        <family val="0"/>
        <charset val="1"/>
      </rPr>
      <t xml:space="preserve">62A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</si>
  <si>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E86890</t>
  </si>
  <si>
    <t xml:space="preserve">CHI FU GARDEN NO. 62B (DELIVERY TO GROUND FLOOR ONLY)</t>
  </si>
  <si>
    <r>
      <rPr>
        <sz val="10"/>
        <rFont val="Noto Sans CJK SC"/>
        <family val="2"/>
      </rPr>
      <t xml:space="preserve">緻富花園</t>
    </r>
    <r>
      <rPr>
        <sz val="10"/>
        <rFont val="Arial"/>
        <family val="0"/>
        <charset val="1"/>
      </rPr>
      <t xml:space="preserve">62B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</si>
  <si>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E86891</t>
  </si>
  <si>
    <t xml:space="preserve">CHI FU GARDEN NO. 62C (DELIVERY TO GROUND FLOOR ONLY)</t>
  </si>
  <si>
    <r>
      <rPr>
        <sz val="10"/>
        <rFont val="Noto Sans CJK SC"/>
        <family val="2"/>
      </rPr>
      <t xml:space="preserve">緻富花園</t>
    </r>
    <r>
      <rPr>
        <sz val="10"/>
        <rFont val="Arial"/>
        <family val="0"/>
        <charset val="1"/>
      </rPr>
      <t xml:space="preserve">62C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</si>
  <si>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E86892</t>
  </si>
  <si>
    <t xml:space="preserve">CHI FU GARDEN NO. 62D (DELIVERY TO GROUND FLOOR ONLY)</t>
  </si>
  <si>
    <r>
      <rPr>
        <sz val="10"/>
        <rFont val="Noto Sans CJK SC"/>
        <family val="2"/>
      </rPr>
      <t xml:space="preserve">緻富花園</t>
    </r>
    <r>
      <rPr>
        <sz val="10"/>
        <rFont val="Arial"/>
        <family val="0"/>
        <charset val="1"/>
      </rPr>
      <t xml:space="preserve">62D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</si>
  <si>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E86893</t>
  </si>
  <si>
    <t xml:space="preserve">CHI FU GARDEN NO. 62E (DELIVERY TO GROUND FLOOR ONLY)</t>
  </si>
  <si>
    <r>
      <rPr>
        <sz val="10"/>
        <rFont val="Noto Sans CJK SC"/>
        <family val="2"/>
      </rPr>
      <t xml:space="preserve">緻富花園</t>
    </r>
    <r>
      <rPr>
        <sz val="10"/>
        <rFont val="Arial"/>
        <family val="0"/>
        <charset val="1"/>
      </rPr>
      <t xml:space="preserve">62E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</si>
  <si>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E86894</t>
  </si>
  <si>
    <t xml:space="preserve">CHI FU GARDEN NO. 62F (DELIVERY TO GROUND FLOOR ONLY)</t>
  </si>
  <si>
    <r>
      <rPr>
        <sz val="10"/>
        <rFont val="Noto Sans CJK SC"/>
        <family val="2"/>
      </rPr>
      <t xml:space="preserve">緻富花園</t>
    </r>
    <r>
      <rPr>
        <sz val="10"/>
        <rFont val="Arial"/>
        <family val="0"/>
        <charset val="1"/>
      </rPr>
      <t xml:space="preserve">62F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</si>
  <si>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E86895</t>
  </si>
  <si>
    <t xml:space="preserve">CHI FU GARDEN NO. 62G (DELIVERY TO GROUND FLOOR ONLY)</t>
  </si>
  <si>
    <r>
      <rPr>
        <sz val="10"/>
        <rFont val="Noto Sans CJK SC"/>
        <family val="2"/>
      </rPr>
      <t xml:space="preserve">緻富花園</t>
    </r>
    <r>
      <rPr>
        <sz val="10"/>
        <rFont val="Arial"/>
        <family val="0"/>
        <charset val="1"/>
      </rPr>
      <t xml:space="preserve">62G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</si>
  <si>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E86896</t>
  </si>
  <si>
    <t xml:space="preserve">CHI FU GARDEN NO. 62H (DELIVERY TO GROUND FLOOR ONLY)</t>
  </si>
  <si>
    <r>
      <rPr>
        <sz val="10"/>
        <rFont val="Noto Sans CJK SC"/>
        <family val="2"/>
      </rPr>
      <t xml:space="preserve">緻富花園</t>
    </r>
    <r>
      <rPr>
        <sz val="10"/>
        <rFont val="Arial"/>
        <family val="0"/>
        <charset val="1"/>
      </rPr>
      <t xml:space="preserve">62H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</si>
  <si>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E86897</t>
  </si>
  <si>
    <t xml:space="preserve">CHI FU GARDEN NO. 62J (DELIVERY TO GROUND FLOOR ONLY)</t>
  </si>
  <si>
    <r>
      <rPr>
        <sz val="10"/>
        <rFont val="Noto Sans CJK SC"/>
        <family val="2"/>
      </rPr>
      <t xml:space="preserve">緻富花園</t>
    </r>
    <r>
      <rPr>
        <sz val="10"/>
        <rFont val="Arial"/>
        <family val="0"/>
        <charset val="1"/>
      </rPr>
      <t xml:space="preserve">62I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</si>
  <si>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E28571</t>
  </si>
  <si>
    <t xml:space="preserve">LOK FUNG BUILDING (DELIVERY TO GROUND FLOOR ONLY)</t>
  </si>
  <si>
    <r>
      <rPr>
        <sz val="10"/>
        <rFont val="Noto Sans CJK SC"/>
        <family val="2"/>
      </rPr>
      <t xml:space="preserve">樂豐樓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</si>
  <si>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E28705</t>
  </si>
  <si>
    <t xml:space="preserve">WO TAI HOUSE (DELIVERY TO GROUND FLOOR ONLY)</t>
  </si>
  <si>
    <r>
      <rPr>
        <sz val="10"/>
        <rFont val="Noto Sans CJK SC"/>
        <family val="2"/>
      </rPr>
      <t xml:space="preserve">和泰樓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</si>
  <si>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E30108</t>
  </si>
  <si>
    <t xml:space="preserve">LINDA VISTA</t>
  </si>
  <si>
    <t xml:space="preserve">NT822-1</t>
  </si>
  <si>
    <t xml:space="preserve">placed at the centre of zone NT822-1 — verify address</t>
  </si>
  <si>
    <t xml:space="preserve">E86484</t>
  </si>
  <si>
    <t xml:space="preserve">HANG CHEONG FA YUEN BLOCK 1 (DELIVERY TO GROUND FLOOR ONLY)</t>
  </si>
  <si>
    <r>
      <rPr>
        <sz val="10"/>
        <rFont val="Noto Sans CJK SC"/>
        <family val="2"/>
      </rPr>
      <t xml:space="preserve">恒昌花苑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</si>
  <si>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NT730-3</t>
  </si>
  <si>
    <t xml:space="preserve">placed at the centre of zone NT730-3 — verify address</t>
  </si>
  <si>
    <t xml:space="preserve">E86485</t>
  </si>
  <si>
    <t xml:space="preserve">HANG CHEONG FA YUEN BLOCK 2 (DELIVERY TO GROUND FLOOR ONLY)</t>
  </si>
  <si>
    <r>
      <rPr>
        <sz val="10"/>
        <rFont val="Noto Sans CJK SC"/>
        <family val="2"/>
      </rPr>
      <t xml:space="preserve">恒昌花苑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</si>
  <si>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E86486</t>
  </si>
  <si>
    <t xml:space="preserve">HANG CHEONG FA YUEN BLOCK 3 (DELIVERY TO GROUND FLOOR ONLY)</t>
  </si>
  <si>
    <r>
      <rPr>
        <sz val="10"/>
        <rFont val="Noto Sans CJK SC"/>
        <family val="2"/>
      </rPr>
      <t xml:space="preserve">恒昌花苑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</si>
  <si>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E86487</t>
  </si>
  <si>
    <t xml:space="preserve">HANG CHEONG FA YUEN BLOCK 4 (DELIVERY TO GROUND FLOOR ONLY)</t>
  </si>
  <si>
    <r>
      <rPr>
        <sz val="10"/>
        <rFont val="Noto Sans CJK SC"/>
        <family val="2"/>
      </rPr>
      <t xml:space="preserve">恒昌花苑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</si>
  <si>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E86488</t>
  </si>
  <si>
    <t xml:space="preserve">HANG CHEONG FA YUEN BLOCK 5 (DELIVERY TO GROUND FLOOR ONLY)</t>
  </si>
  <si>
    <r>
      <rPr>
        <sz val="10"/>
        <rFont val="Noto Sans CJK SC"/>
        <family val="2"/>
      </rPr>
      <t xml:space="preserve">恒昌花苑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</si>
  <si>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E86489</t>
  </si>
  <si>
    <t xml:space="preserve">HANG CHEONG FA YUEN BLOCK 6 (DELIVERY TO GROUND FLOOR ONLY)</t>
  </si>
  <si>
    <r>
      <rPr>
        <sz val="10"/>
        <rFont val="Noto Sans CJK SC"/>
        <family val="2"/>
      </rPr>
      <t xml:space="preserve">恒昌花苑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</si>
  <si>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E86490</t>
  </si>
  <si>
    <t xml:space="preserve">HANG CHEONG FA YUEN BLOCK 7 (DELIVERY TO GROUND FLOOR ONLY)</t>
  </si>
  <si>
    <r>
      <rPr>
        <sz val="10"/>
        <rFont val="Noto Sans CJK SC"/>
        <family val="2"/>
      </rPr>
      <t xml:space="preserve">恒昌花苑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</si>
  <si>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E86491</t>
  </si>
  <si>
    <t xml:space="preserve">HANG CHEONG FA YUEN BLOCK 8 (DELIVERY TO GROUND FLOOR ONLY)</t>
  </si>
  <si>
    <r>
      <rPr>
        <sz val="10"/>
        <rFont val="Noto Sans CJK SC"/>
        <family val="2"/>
      </rPr>
      <t xml:space="preserve">恒昌花苑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</si>
  <si>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E86492</t>
  </si>
  <si>
    <t xml:space="preserve">HANG CHEONG FA YUEN BLOCK 9 (DELIVERY TO GROUND FLOOR ONLY)</t>
  </si>
  <si>
    <r>
      <rPr>
        <sz val="10"/>
        <rFont val="Noto Sans CJK SC"/>
        <family val="2"/>
      </rPr>
      <t xml:space="preserve">恒昌花苑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</si>
  <si>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E86493</t>
  </si>
  <si>
    <t xml:space="preserve">HANG CHEONG FA YUEN BLOCK 10 (DELIVERY TO GROUND FLOOR ONLY)</t>
  </si>
  <si>
    <r>
      <rPr>
        <sz val="10"/>
        <rFont val="Noto Sans CJK SC"/>
        <family val="2"/>
      </rPr>
      <t xml:space="preserve">恒昌花苑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</si>
  <si>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E86494</t>
  </si>
  <si>
    <t xml:space="preserve">HANG CHEONG FA YUEN BLOCK 11 (DELIVERY TO GROUND FLOOR ONLY)</t>
  </si>
  <si>
    <r>
      <rPr>
        <sz val="10"/>
        <rFont val="Noto Sans CJK SC"/>
        <family val="2"/>
      </rPr>
      <t xml:space="preserve">恒昌花苑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</si>
  <si>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E86495</t>
  </si>
  <si>
    <t xml:space="preserve">HANG CHEONG FA YUEN BLOCK 12 (DELIVERY TO GROUND FLOOR ONLY)</t>
  </si>
  <si>
    <r>
      <rPr>
        <sz val="10"/>
        <rFont val="Noto Sans CJK SC"/>
        <family val="2"/>
      </rPr>
      <t xml:space="preserve">恒昌花苑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</si>
  <si>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E86496</t>
  </si>
  <si>
    <t xml:space="preserve">HANG CHEONG FA YUEN BLOCK 13 (DELIVERY TO GROUND FLOOR ONLY)</t>
  </si>
  <si>
    <r>
      <rPr>
        <sz val="10"/>
        <rFont val="Noto Sans CJK SC"/>
        <family val="2"/>
      </rPr>
      <t xml:space="preserve">恒昌花苑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</si>
  <si>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E82084</t>
  </si>
  <si>
    <t xml:space="preserve">WATERSIDE VILLA</t>
  </si>
  <si>
    <t xml:space="preserve">西貢海海濱別墅</t>
  </si>
  <si>
    <t xml:space="preserve">E41737</t>
  </si>
  <si>
    <t xml:space="preserve">AGNES WISE KINDERGARTEN</t>
  </si>
  <si>
    <t xml:space="preserve">雅麗斯樂思幼稚園</t>
  </si>
  <si>
    <t xml:space="preserve">Hung Shui Kiu</t>
  </si>
  <si>
    <t xml:space="preserve">NT719-1</t>
  </si>
  <si>
    <t xml:space="preserve">placed at the centre of zone NT719-1 — verify address</t>
  </si>
  <si>
    <t xml:space="preserve">E32824</t>
  </si>
  <si>
    <t xml:space="preserve">PO SHING INDUSTRIAL BLDG</t>
  </si>
  <si>
    <t xml:space="preserve">寶城工業大廈</t>
  </si>
  <si>
    <t xml:space="preserve">San Po Kong</t>
  </si>
  <si>
    <t xml:space="preserve">KN455-1</t>
  </si>
  <si>
    <t xml:space="preserve">placed at the centre of zone KN455-1 — verify address</t>
  </si>
  <si>
    <t xml:space="preserve">E61895</t>
  </si>
  <si>
    <t xml:space="preserve">111 LAM TSUEN TONG SHEUNG TSUEN (DELIVERY TO GROUND FLOOR ONLY)</t>
  </si>
  <si>
    <r>
      <rPr>
        <sz val="10"/>
        <rFont val="Noto Sans CJK SC"/>
        <family val="2"/>
      </rPr>
      <t xml:space="preserve">林村塘上村</t>
    </r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號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</si>
  <si>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NT464-1</t>
  </si>
  <si>
    <t xml:space="preserve">placed at the centre of zone NT464-1 — verify address</t>
  </si>
  <si>
    <t xml:space="preserve">E41561</t>
  </si>
  <si>
    <t xml:space="preserve">BUDDHIST CHI KWONG KINDERGARTEN</t>
  </si>
  <si>
    <t xml:space="preserve">佛教慈光幼稚園</t>
  </si>
  <si>
    <t xml:space="preserve">NT633-1</t>
  </si>
  <si>
    <t xml:space="preserve">placed at the centre of zone NT633-1 — verify address</t>
  </si>
  <si>
    <t xml:space="preserve">E41587</t>
  </si>
  <si>
    <t xml:space="preserve">TWGHS ZONTA CLUB OF KOWLOON NURSERY SCHOOL</t>
  </si>
  <si>
    <t xml:space="preserve">東華三院九龍崇德社幼兒園</t>
  </si>
  <si>
    <t xml:space="preserve">E41362</t>
  </si>
  <si>
    <t xml:space="preserve">ANCHORS KINDERGARTEN (FANLING)</t>
  </si>
  <si>
    <t xml:space="preserve">安基司幼稚園（粉嶺）</t>
  </si>
  <si>
    <t xml:space="preserve">NT454-1</t>
  </si>
  <si>
    <t xml:space="preserve">placed at the centre of zone NT454-1 — verify address</t>
  </si>
  <si>
    <t xml:space="preserve">E31130</t>
  </si>
  <si>
    <t xml:space="preserve">YUEN LONG LOGISTICS CENTRE</t>
  </si>
  <si>
    <t xml:space="preserve">元朗物流中心</t>
  </si>
  <si>
    <t xml:space="preserve">NT612-1</t>
  </si>
  <si>
    <t xml:space="preserve">placed at the centre of zone NT612-1 — verify address</t>
  </si>
  <si>
    <t xml:space="preserve">E43812</t>
  </si>
  <si>
    <t xml:space="preserve">LAU FAU SHAN SAN HING TSUEN (DELIVERY TO GROUND FLOOR ONLY)</t>
  </si>
  <si>
    <r>
      <rPr>
        <sz val="10"/>
        <rFont val="Noto Sans CJK SC"/>
        <family val="2"/>
      </rPr>
      <t xml:space="preserve">流浮山新慶村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</si>
  <si>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Lau Fau Shan</t>
  </si>
  <si>
    <t xml:space="preserve">NT732-1</t>
  </si>
  <si>
    <t xml:space="preserve">placed at the centre of zone NT732-1 — verify address</t>
  </si>
  <si>
    <t xml:space="preserve">E32244</t>
  </si>
  <si>
    <t xml:space="preserve">2 Carnarvon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</si>
  <si>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加拿分</t>
    </r>
  </si>
  <si>
    <t xml:space="preserve">KN661-1</t>
  </si>
  <si>
    <t xml:space="preserve">placed at the centre of zone KN661-1 — verify address</t>
  </si>
  <si>
    <t xml:space="preserve">E32343</t>
  </si>
  <si>
    <t xml:space="preserve">LODGEWOOD</t>
  </si>
  <si>
    <r>
      <rPr>
        <sz val="10"/>
        <rFont val="Noto Sans CJK SC"/>
        <family val="2"/>
      </rPr>
      <t xml:space="preserve">薈賢居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香港旺角廣東道</t>
    </r>
    <r>
      <rPr>
        <sz val="10"/>
        <rFont val="Arial"/>
        <family val="0"/>
        <charset val="1"/>
      </rPr>
      <t xml:space="preserve">1131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)</t>
    </r>
  </si>
  <si>
    <t xml:space="preserve">KN658-1</t>
  </si>
  <si>
    <t xml:space="preserve">placed at the centre of zone KN658-1 — verify address</t>
  </si>
  <si>
    <t xml:space="preserve">E22888</t>
  </si>
  <si>
    <t xml:space="preserve">WAH MING BUILDING</t>
  </si>
  <si>
    <t xml:space="preserve">華明樓</t>
  </si>
  <si>
    <t xml:space="preserve">Sai Wan</t>
  </si>
  <si>
    <t xml:space="preserve">NT-YT &amp; WTH</t>
  </si>
  <si>
    <t xml:space="preserve">HK821-1</t>
  </si>
  <si>
    <t xml:space="preserve">placed at the centre of zone HK821-1 — verify address</t>
  </si>
  <si>
    <t xml:space="preserve">E52228</t>
  </si>
  <si>
    <t xml:space="preserve">MTR SIU HO WAN DEPOT (DELIVERY TO GATEWAY ONLY)</t>
  </si>
  <si>
    <r>
      <rPr>
        <sz val="10"/>
        <rFont val="Noto Sans CJK SC"/>
        <family val="2"/>
      </rPr>
      <t xml:space="preserve">港鐵小蠔灣車廠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只限大閘交收</t>
    </r>
    <r>
      <rPr>
        <sz val="10"/>
        <rFont val="Arial"/>
        <family val="0"/>
        <charset val="1"/>
      </rPr>
      <t xml:space="preserve">)</t>
    </r>
  </si>
  <si>
    <t xml:space="preserve">Tung Chung</t>
  </si>
  <si>
    <t xml:space="preserve">NT807-1</t>
  </si>
  <si>
    <t xml:space="preserve">placed at the centre of zone NT807-1 — verify address</t>
  </si>
  <si>
    <t xml:space="preserve">E32392</t>
  </si>
  <si>
    <t xml:space="preserve">LEE WAH BUILDING</t>
  </si>
  <si>
    <t xml:space="preserve">利華大廈</t>
  </si>
  <si>
    <t xml:space="preserve">KN656-1</t>
  </si>
  <si>
    <t xml:space="preserve">placed at the centre of zone KN656-1 — verify address</t>
  </si>
  <si>
    <t xml:space="preserve">E81899</t>
  </si>
  <si>
    <t xml:space="preserve">PO LIN MONASTERY (DELIVERY TO PARKING OF NGONG PING VILLAGE ONLY)</t>
  </si>
  <si>
    <r>
      <rPr>
        <sz val="10"/>
        <rFont val="Noto Sans CJK SC"/>
        <family val="2"/>
      </rPr>
      <t xml:space="preserve">寶蓮禪寺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只限昂坪市集對出停車場交收</t>
    </r>
    <r>
      <rPr>
        <sz val="10"/>
        <rFont val="Arial"/>
        <family val="0"/>
        <charset val="1"/>
      </rPr>
      <t xml:space="preserve">)</t>
    </r>
  </si>
  <si>
    <t xml:space="preserve">Tai O</t>
  </si>
  <si>
    <t xml:space="preserve">NT878-1</t>
  </si>
  <si>
    <t xml:space="preserve">placed at the centre of zone NT878-1 — verify address</t>
  </si>
  <si>
    <t xml:space="preserve">E29380</t>
  </si>
  <si>
    <t xml:space="preserve">CAMBRIDGE NURSING HOME(DELIVERY TO GROUND FLOOR ONLY)</t>
  </si>
  <si>
    <r>
      <rPr>
        <sz val="10"/>
        <rFont val="Noto Sans CJK SC"/>
        <family val="2"/>
      </rPr>
      <t xml:space="preserve">劍橋護老院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大圍積存街</t>
    </r>
    <r>
      <rPr>
        <sz val="10"/>
        <rFont val="Arial"/>
        <family val="0"/>
        <charset val="1"/>
      </rPr>
      <t xml:space="preserve">60-68</t>
    </r>
    <r>
      <rPr>
        <sz val="10"/>
        <rFont val="Noto Sans CJK SC"/>
        <family val="2"/>
      </rPr>
      <t xml:space="preserve">號地下至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字樓</t>
    </r>
    <r>
      <rPr>
        <sz val="10"/>
        <rFont val="Arial"/>
        <family val="0"/>
        <charset val="1"/>
      </rPr>
      <t xml:space="preserve">)(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</si>
  <si>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E42318</t>
  </si>
  <si>
    <t xml:space="preserve">TUNG WAH HOSPITAL GOPC (TUNG WAH HOSPITAL) (DELIVERY TO GROUND FLOOR ONLY)</t>
  </si>
  <si>
    <r>
      <rPr>
        <sz val="10"/>
        <rFont val="Noto Sans CJK SC"/>
        <family val="2"/>
      </rPr>
      <t xml:space="preserve">東華醫院普通科門診診所 </t>
    </r>
    <r>
      <rPr>
        <sz val="10"/>
        <rFont val="Arial"/>
        <family val="0"/>
        <charset val="1"/>
      </rPr>
      <t xml:space="preserve">( </t>
    </r>
    <r>
      <rPr>
        <sz val="10"/>
        <rFont val="Noto Sans CJK SC"/>
        <family val="2"/>
      </rPr>
      <t xml:space="preserve">東華醫院 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只限地下門口交收</t>
    </r>
    <r>
      <rPr>
        <sz val="10"/>
        <rFont val="Arial"/>
        <family val="0"/>
        <charset val="1"/>
      </rPr>
      <t xml:space="preserve">)</t>
    </r>
  </si>
  <si>
    <t xml:space="preserve">Sheung Wan</t>
  </si>
  <si>
    <t xml:space="preserve">HK601-1</t>
  </si>
  <si>
    <t xml:space="preserve">placed at the centre of zone HK601-1 — verify address</t>
  </si>
  <si>
    <t xml:space="preserve">E27389</t>
  </si>
  <si>
    <t xml:space="preserve">SUN FUNG MANSION</t>
  </si>
  <si>
    <t xml:space="preserve">新風大廈</t>
  </si>
  <si>
    <t xml:space="preserve">Mongkok</t>
  </si>
  <si>
    <t xml:space="preserve">KN680-1</t>
  </si>
  <si>
    <t xml:space="preserve">placed at the centre of zone KN680-1 — verify address</t>
  </si>
  <si>
    <t xml:space="preserve">E52224</t>
  </si>
  <si>
    <t xml:space="preserve">SHEK MUN KAP BUS TERMINAL (DELIVERY TO PASSING PACE ONLY)</t>
  </si>
  <si>
    <r>
      <rPr>
        <sz val="10"/>
        <rFont val="Noto Sans CJK SC"/>
        <family val="2"/>
      </rPr>
      <t xml:space="preserve">大嶼山石門甲巴士總站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只限避車處交收</t>
    </r>
    <r>
      <rPr>
        <sz val="10"/>
        <rFont val="Arial"/>
        <family val="0"/>
        <charset val="1"/>
      </rPr>
      <t xml:space="preserve">)</t>
    </r>
  </si>
  <si>
    <t xml:space="preserve">Lantau Island</t>
  </si>
  <si>
    <t xml:space="preserve">NT877-2</t>
  </si>
  <si>
    <t xml:space="preserve">placed at the centre of zone NT877-2 — verify address</t>
  </si>
  <si>
    <t xml:space="preserve">E83639</t>
  </si>
  <si>
    <t xml:space="preserve">SHAWSTUDIOS - ADMINISTRATION STAFF QUARTERS BLOCK 3 (DELIVERY TO GROUND FLOOR ONLY)</t>
  </si>
  <si>
    <r>
      <rPr>
        <sz val="10"/>
        <rFont val="Noto Sans CJK SC"/>
        <family val="2"/>
      </rPr>
      <t xml:space="preserve">邵氏影城行政人員宿舍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</si>
  <si>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KN296-1</t>
  </si>
  <si>
    <t xml:space="preserve">placed at the centre of zone KN296-1 — verify address</t>
  </si>
  <si>
    <t xml:space="preserve">E83640</t>
  </si>
  <si>
    <t xml:space="preserve">SHAWSTUDIOS - ADMINISTRATION STAFF QUARTERS BLOCK 4 (DELIVERY TO GROUND FLOOR ONLY)</t>
  </si>
  <si>
    <r>
      <rPr>
        <sz val="10"/>
        <rFont val="Noto Sans CJK SC"/>
        <family val="2"/>
      </rPr>
      <t xml:space="preserve">邵氏影城行政人員宿舍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</si>
  <si>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E83641</t>
  </si>
  <si>
    <t xml:space="preserve">SHAWSTUDIOS - ADMINISTRATION STAFF QUARTERS BLOCK 5 (DELIVERY TO GROUND FLOOR ONLY)</t>
  </si>
  <si>
    <r>
      <rPr>
        <sz val="10"/>
        <rFont val="Noto Sans CJK SC"/>
        <family val="2"/>
      </rPr>
      <t xml:space="preserve">邵氏影城行政人員宿舍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</si>
  <si>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E83959</t>
  </si>
  <si>
    <t xml:space="preserve">LO WU CORRECTIONAL INSTITUTION (DELIVERY TO GATEWAY ONLY)</t>
  </si>
  <si>
    <r>
      <rPr>
        <sz val="10"/>
        <rFont val="Noto Sans CJK SC"/>
        <family val="2"/>
      </rPr>
      <t xml:space="preserve">羅湖懲教所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只限閘口交收</t>
    </r>
    <r>
      <rPr>
        <sz val="10"/>
        <rFont val="Arial"/>
        <family val="0"/>
        <charset val="1"/>
      </rPr>
      <t xml:space="preserve">)</t>
    </r>
  </si>
  <si>
    <t xml:space="preserve">NT463-5</t>
  </si>
  <si>
    <t xml:space="preserve">placed at the centre of zone NT463-5 — verify address</t>
  </si>
  <si>
    <t xml:space="preserve">E86048</t>
  </si>
  <si>
    <t xml:space="preserve">NGONG PING SEWAGE TREATMENT PLANT</t>
  </si>
  <si>
    <t xml:space="preserve">昂坪污水處理廠</t>
  </si>
  <si>
    <t xml:space="preserve">E43671</t>
  </si>
  <si>
    <t xml:space="preserve">BANK OF COMMUNICATIONS BUILDING</t>
  </si>
  <si>
    <r>
      <rPr>
        <sz val="10"/>
        <rFont val="Noto Sans CJK SC"/>
        <family val="2"/>
      </rPr>
      <t xml:space="preserve">交通銀行大廈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油麻地</t>
    </r>
    <r>
      <rPr>
        <sz val="10"/>
        <rFont val="Arial"/>
        <family val="0"/>
        <charset val="1"/>
      </rPr>
      <t xml:space="preserve">)</t>
    </r>
  </si>
  <si>
    <t xml:space="preserve">Yau Ma Tei</t>
  </si>
  <si>
    <t xml:space="preserve">KN677-1</t>
  </si>
  <si>
    <t xml:space="preserve">placed at the centre of zone KN677-1 — verify address</t>
  </si>
  <si>
    <t xml:space="preserve">E34432</t>
  </si>
  <si>
    <t xml:space="preserve">WISEMEN VILLA (DELIVERY TO YIN KONG PUBLIC TOILET ONLY)</t>
  </si>
  <si>
    <r>
      <rPr>
        <sz val="10"/>
        <rFont val="Noto Sans CJK SC"/>
        <family val="2"/>
      </rPr>
      <t xml:space="preserve">慧雯花園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只限籃球場公廁交收</t>
    </r>
    <r>
      <rPr>
        <sz val="10"/>
        <rFont val="Arial"/>
        <family val="0"/>
        <charset val="1"/>
      </rPr>
      <t xml:space="preserve">)</t>
    </r>
  </si>
  <si>
    <t xml:space="preserve">Kwu Tung</t>
  </si>
  <si>
    <t xml:space="preserve">E62078</t>
  </si>
  <si>
    <r>
      <rPr>
        <sz val="10"/>
        <rFont val="Noto Sans CJK SC"/>
        <family val="2"/>
      </rPr>
      <t xml:space="preserve">金燕花園 </t>
    </r>
    <r>
      <rPr>
        <sz val="10"/>
        <rFont val="Arial"/>
        <family val="0"/>
        <charset val="1"/>
      </rPr>
      <t xml:space="preserve">(DELIVERY TO YIN KONG PUBLIC TOILET ONLY)</t>
    </r>
  </si>
  <si>
    <r>
      <rPr>
        <sz val="10"/>
        <rFont val="Noto Sans CJK SC"/>
        <family val="2"/>
      </rPr>
      <t xml:space="preserve">金燕花園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只限籃球場公廁交收</t>
    </r>
    <r>
      <rPr>
        <sz val="10"/>
        <rFont val="Arial"/>
        <family val="0"/>
        <charset val="1"/>
      </rPr>
      <t xml:space="preserve">)</t>
    </r>
  </si>
  <si>
    <t xml:space="preserve">E62083</t>
  </si>
  <si>
    <r>
      <rPr>
        <sz val="10"/>
        <rFont val="Noto Sans CJK SC"/>
        <family val="2"/>
      </rPr>
      <t xml:space="preserve">臥龍花園</t>
    </r>
    <r>
      <rPr>
        <sz val="10"/>
        <rFont val="Arial"/>
        <family val="0"/>
        <charset val="1"/>
      </rPr>
      <t xml:space="preserve">(DELIVERY TO YIN KONG PUBLIC TOILET ONLY)</t>
    </r>
  </si>
  <si>
    <r>
      <rPr>
        <sz val="10"/>
        <rFont val="Noto Sans CJK SC"/>
        <family val="2"/>
      </rPr>
      <t xml:space="preserve">臥龍花園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只限籃球場公廁交收</t>
    </r>
    <r>
      <rPr>
        <sz val="10"/>
        <rFont val="Arial"/>
        <family val="0"/>
        <charset val="1"/>
      </rPr>
      <t xml:space="preserve">)</t>
    </r>
  </si>
  <si>
    <t xml:space="preserve">E84472</t>
  </si>
  <si>
    <t xml:space="preserve">LO WU SADDLE CLUB (DELIVERY TO GATEWEAY ONLY)</t>
  </si>
  <si>
    <r>
      <rPr>
        <sz val="10"/>
        <rFont val="Noto Sans CJK SC"/>
        <family val="2"/>
      </rPr>
      <t xml:space="preserve">羅湖騎術會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只限閘口交收</t>
    </r>
    <r>
      <rPr>
        <sz val="10"/>
        <rFont val="Arial"/>
        <family val="0"/>
        <charset val="1"/>
      </rPr>
      <t xml:space="preserve">)</t>
    </r>
  </si>
  <si>
    <t xml:space="preserve">E81982</t>
  </si>
  <si>
    <t xml:space="preserve">ENCHI LODGE (DELIVERY TO GATEWAY ONLY)</t>
  </si>
  <si>
    <r>
      <rPr>
        <sz val="10"/>
        <rFont val="Noto Sans CJK SC"/>
        <family val="2"/>
      </rPr>
      <t xml:space="preserve">恩慈之家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只限門口交收</t>
    </r>
    <r>
      <rPr>
        <sz val="10"/>
        <rFont val="Arial"/>
        <family val="0"/>
        <charset val="1"/>
      </rPr>
      <t xml:space="preserve">)</t>
    </r>
  </si>
  <si>
    <t xml:space="preserve">E41659</t>
  </si>
  <si>
    <t xml:space="preserve">CREATIVE KINDERGARTEN (TUEN MUN BRANCH)</t>
  </si>
  <si>
    <r>
      <rPr>
        <sz val="10"/>
        <rFont val="Noto Sans CJK SC"/>
        <family val="2"/>
      </rPr>
      <t xml:space="preserve">啟思幼稚園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屯門分校</t>
    </r>
    <r>
      <rPr>
        <sz val="10"/>
        <rFont val="Arial"/>
        <family val="0"/>
        <charset val="1"/>
      </rPr>
      <t xml:space="preserve">)</t>
    </r>
  </si>
  <si>
    <t xml:space="preserve">NT659-2</t>
  </si>
  <si>
    <t xml:space="preserve">placed at the centre of zone NT659-2 — verify address</t>
  </si>
  <si>
    <t xml:space="preserve">E82015</t>
  </si>
  <si>
    <t xml:space="preserve">KIOSK, TUNG CHAU STREET PARK (DELIVERY TO CHEONG SAN LANE ENTRANCE ONLY)</t>
  </si>
  <si>
    <r>
      <rPr>
        <sz val="10"/>
        <rFont val="Noto Sans CJK SC"/>
        <family val="2"/>
      </rPr>
      <t xml:space="preserve">通州街公園小食亭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只限昌新里入口交收</t>
    </r>
    <r>
      <rPr>
        <sz val="10"/>
        <rFont val="Arial"/>
        <family val="0"/>
        <charset val="1"/>
      </rPr>
      <t xml:space="preserve">)</t>
    </r>
  </si>
  <si>
    <t xml:space="preserve">KN831-1</t>
  </si>
  <si>
    <t xml:space="preserve">placed at the centre of zone KN831-1 — verify address</t>
  </si>
  <si>
    <t xml:space="preserve">E32898</t>
  </si>
  <si>
    <t xml:space="preserve">YIN KONG TSUEN (DELIVERY TO BASKETBALL COURT PUBLIC TOILET ONLY)</t>
  </si>
  <si>
    <r>
      <rPr>
        <sz val="10"/>
        <rFont val="Noto Sans CJK SC"/>
        <family val="2"/>
      </rPr>
      <t xml:space="preserve">燕崗村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只限籃球場公廁交收</t>
    </r>
    <r>
      <rPr>
        <sz val="10"/>
        <rFont val="Arial"/>
        <family val="0"/>
        <charset val="1"/>
      </rPr>
      <t xml:space="preserve">)</t>
    </r>
  </si>
  <si>
    <t xml:space="preserve">E34256</t>
  </si>
  <si>
    <t xml:space="preserve">HENRY BUILDING</t>
  </si>
  <si>
    <r>
      <rPr>
        <sz val="10"/>
        <rFont val="Noto Sans CJK SC"/>
        <family val="2"/>
      </rPr>
      <t xml:space="preserve">恆利樓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黃大仙</t>
    </r>
    <r>
      <rPr>
        <sz val="10"/>
        <rFont val="Arial"/>
        <family val="0"/>
        <charset val="1"/>
      </rPr>
      <t xml:space="preserve">)</t>
    </r>
  </si>
  <si>
    <t xml:space="preserve">KN437-1</t>
  </si>
  <si>
    <t xml:space="preserve">placed at the centre of zone KN437-1 — verify address</t>
  </si>
  <si>
    <t xml:space="preserve">E43728</t>
  </si>
  <si>
    <t xml:space="preserve">HO SHEUNG HEUNG (DELIVERY TO PAI FUNG ROAD TSZ TONG ONLY)</t>
  </si>
  <si>
    <r>
      <rPr>
        <sz val="10"/>
        <rFont val="Noto Sans CJK SC"/>
        <family val="2"/>
      </rPr>
      <t xml:space="preserve">河上鄉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只限排峰路祠堂交收</t>
    </r>
    <r>
      <rPr>
        <sz val="10"/>
        <rFont val="Arial"/>
        <family val="0"/>
        <charset val="1"/>
      </rPr>
      <t xml:space="preserve">)</t>
    </r>
  </si>
  <si>
    <t xml:space="preserve">E61971</t>
  </si>
  <si>
    <t xml:space="preserve">CHUN HING TIMBER COMPANY LIMITED</t>
  </si>
  <si>
    <r>
      <rPr>
        <sz val="10"/>
        <rFont val="Noto Sans CJK SC"/>
        <family val="2"/>
      </rPr>
      <t xml:space="preserve">何東花園</t>
    </r>
    <r>
      <rPr>
        <sz val="10"/>
        <rFont val="Arial"/>
        <family val="0"/>
        <charset val="1"/>
      </rPr>
      <t xml:space="preserve">7A</t>
    </r>
    <r>
      <rPr>
        <sz val="10"/>
        <rFont val="Noto Sans CJK SC"/>
        <family val="2"/>
      </rPr>
      <t xml:space="preserve">振興木行</t>
    </r>
  </si>
  <si>
    <t xml:space="preserve">E30692</t>
  </si>
  <si>
    <t xml:space="preserve">PING SHAN HONG PING VILLA (CASTLE PEAK ROAD YUEN LONG) (DELIVERY TO FIORI'S GATEWAY ONLY)</t>
  </si>
  <si>
    <r>
      <rPr>
        <sz val="10"/>
        <rFont val="Noto Sans CJK SC"/>
        <family val="2"/>
      </rPr>
      <t xml:space="preserve">屏山康屏花園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只限綠悅閘口地下交收</t>
    </r>
    <r>
      <rPr>
        <sz val="10"/>
        <rFont val="Arial"/>
        <family val="0"/>
        <charset val="1"/>
      </rPr>
      <t xml:space="preserve">)</t>
    </r>
  </si>
  <si>
    <t xml:space="preserve">placed at the centre of zone NT715-1 — verify address</t>
  </si>
  <si>
    <t xml:space="preserve">E51710</t>
  </si>
  <si>
    <t xml:space="preserve">CELESTIAL VILLA HOUSE 8 (DELIVERY TO GATEWAY ONLY)</t>
  </si>
  <si>
    <r>
      <rPr>
        <sz val="10"/>
        <rFont val="Noto Sans CJK SC"/>
        <family val="2"/>
      </rPr>
      <t xml:space="preserve">秀麗苑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只限閘口交收</t>
    </r>
    <r>
      <rPr>
        <sz val="10"/>
        <rFont val="Arial"/>
        <family val="0"/>
        <charset val="1"/>
      </rPr>
      <t xml:space="preserve">)</t>
    </r>
  </si>
  <si>
    <t xml:space="preserve">E51711</t>
  </si>
  <si>
    <t xml:space="preserve">CELESTIAL VILLA HOUSE 9 (DELIVERY TO GATEWAY ONLY)</t>
  </si>
  <si>
    <r>
      <rPr>
        <sz val="10"/>
        <rFont val="Noto Sans CJK SC"/>
        <family val="2"/>
      </rPr>
      <t xml:space="preserve">秀麗苑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只限閘口交收</t>
    </r>
    <r>
      <rPr>
        <sz val="10"/>
        <rFont val="Arial"/>
        <family val="0"/>
        <charset val="1"/>
      </rPr>
      <t xml:space="preserve">)</t>
    </r>
  </si>
  <si>
    <t xml:space="preserve">E51709</t>
  </si>
  <si>
    <t xml:space="preserve">CELESTIAL VILLA HOUSE 7 (DELIVERY TO GATEWAY ONLY)</t>
  </si>
  <si>
    <r>
      <rPr>
        <sz val="10"/>
        <rFont val="Noto Sans CJK SC"/>
        <family val="2"/>
      </rPr>
      <t xml:space="preserve">秀麗苑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只限閘口交收</t>
    </r>
    <r>
      <rPr>
        <sz val="10"/>
        <rFont val="Arial"/>
        <family val="0"/>
        <charset val="1"/>
      </rPr>
      <t xml:space="preserve">)</t>
    </r>
  </si>
  <si>
    <t xml:space="preserve">E51712</t>
  </si>
  <si>
    <t xml:space="preserve">CELESTIAL VILLA HOUSE 10 (DELIVERY TO GROUND FLOOR ONLY)</t>
  </si>
  <si>
    <r>
      <rPr>
        <sz val="10"/>
        <rFont val="Noto Sans CJK SC"/>
        <family val="2"/>
      </rPr>
      <t xml:space="preserve">秀麗苑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</si>
  <si>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E51713</t>
  </si>
  <si>
    <t xml:space="preserve">CELESTIAL VILLA HOUSE 11 (DELIVERY TO GATEWAY ONLY)</t>
  </si>
  <si>
    <r>
      <rPr>
        <sz val="10"/>
        <rFont val="Noto Sans CJK SC"/>
        <family val="2"/>
      </rPr>
      <t xml:space="preserve">秀麗苑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只限閘口交收</t>
    </r>
    <r>
      <rPr>
        <sz val="10"/>
        <rFont val="Arial"/>
        <family val="0"/>
        <charset val="1"/>
      </rPr>
      <t xml:space="preserve">)</t>
    </r>
  </si>
  <si>
    <t xml:space="preserve">E51708</t>
  </si>
  <si>
    <t xml:space="preserve">CELESTIAL VILLA HOUSE 6 (DELIVERY TO GATEWAY ONLY)</t>
  </si>
  <si>
    <r>
      <rPr>
        <sz val="10"/>
        <rFont val="Noto Sans CJK SC"/>
        <family val="2"/>
      </rPr>
      <t xml:space="preserve">秀麗苑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只限閘口交收</t>
    </r>
    <r>
      <rPr>
        <sz val="10"/>
        <rFont val="Arial"/>
        <family val="0"/>
        <charset val="1"/>
      </rPr>
      <t xml:space="preserve">)</t>
    </r>
  </si>
  <si>
    <t xml:space="preserve">E51714</t>
  </si>
  <si>
    <t xml:space="preserve">CELESTIAL VILLA HOUSE 12 (DELIVERY TO GATEWAY ONLY)</t>
  </si>
  <si>
    <r>
      <rPr>
        <sz val="10"/>
        <rFont val="Noto Sans CJK SC"/>
        <family val="2"/>
      </rPr>
      <t xml:space="preserve">秀麗苑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只限閘口交收</t>
    </r>
    <r>
      <rPr>
        <sz val="10"/>
        <rFont val="Arial"/>
        <family val="0"/>
        <charset val="1"/>
      </rPr>
      <t xml:space="preserve">)</t>
    </r>
  </si>
  <si>
    <t xml:space="preserve">E51707</t>
  </si>
  <si>
    <t xml:space="preserve">CELESTIAL VILLA HOUSE 5 (DELIVERY TO GATEWAY ONLY)</t>
  </si>
  <si>
    <r>
      <rPr>
        <sz val="10"/>
        <rFont val="Noto Sans CJK SC"/>
        <family val="2"/>
      </rPr>
      <t xml:space="preserve">秀麗苑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只限閘口交收</t>
    </r>
    <r>
      <rPr>
        <sz val="10"/>
        <rFont val="Arial"/>
        <family val="0"/>
        <charset val="1"/>
      </rPr>
      <t xml:space="preserve">)</t>
    </r>
  </si>
  <si>
    <t xml:space="preserve">E51705</t>
  </si>
  <si>
    <t xml:space="preserve">CELESTIAL VILLA HOUSE 3 (DELIVERY TO GATEWAY ONLY)</t>
  </si>
  <si>
    <r>
      <rPr>
        <sz val="10"/>
        <rFont val="Noto Sans CJK SC"/>
        <family val="2"/>
      </rPr>
      <t xml:space="preserve">秀麗苑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只限閘口交收</t>
    </r>
    <r>
      <rPr>
        <sz val="10"/>
        <rFont val="Arial"/>
        <family val="0"/>
        <charset val="1"/>
      </rPr>
      <t xml:space="preserve">)</t>
    </r>
  </si>
  <si>
    <t xml:space="preserve">E51704</t>
  </si>
  <si>
    <t xml:space="preserve">CELESTIAL VILLA HOUSE 2 (DELIVERY TO GROUND FLOOR ONLY)</t>
  </si>
  <si>
    <r>
      <rPr>
        <sz val="10"/>
        <rFont val="Noto Sans CJK SC"/>
        <family val="2"/>
      </rPr>
      <t xml:space="preserve">秀麗苑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</si>
  <si>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E84340</t>
  </si>
  <si>
    <t xml:space="preserve">HARMONY (HOUSE)</t>
  </si>
  <si>
    <r>
      <rPr>
        <sz val="10"/>
        <rFont val="Noto Sans CJK SC"/>
        <family val="2"/>
      </rPr>
      <t xml:space="preserve">逸苑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洋房</t>
    </r>
    <r>
      <rPr>
        <sz val="10"/>
        <rFont val="Arial"/>
        <family val="0"/>
        <charset val="1"/>
      </rPr>
      <t xml:space="preserve">)</t>
    </r>
  </si>
  <si>
    <t xml:space="preserve">Mid-Levels</t>
  </si>
  <si>
    <t xml:space="preserve">ETH</t>
  </si>
  <si>
    <t xml:space="preserve">HK444-1</t>
  </si>
  <si>
    <t xml:space="preserve">placed at the centre of zone HK444-1 — verify address</t>
  </si>
  <si>
    <t xml:space="preserve">E26513</t>
  </si>
  <si>
    <t xml:space="preserve">CIMBRIA COURT  (DELIVERY TO GROUND FLOOR ONLY)</t>
  </si>
  <si>
    <r>
      <rPr>
        <sz val="10"/>
        <rFont val="Noto Sans CJK SC"/>
        <family val="2"/>
      </rPr>
      <t xml:space="preserve">金碧閣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尖沙咀金巴厘道</t>
    </r>
    <r>
      <rPr>
        <sz val="10"/>
        <rFont val="Arial"/>
        <family val="0"/>
        <charset val="1"/>
      </rPr>
      <t xml:space="preserve">58-60A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)  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</si>
  <si>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KN663-1</t>
  </si>
  <si>
    <t xml:space="preserve">placed at the centre of zone KN663-1 — verify address</t>
  </si>
  <si>
    <t xml:space="preserve">E21506</t>
  </si>
  <si>
    <t xml:space="preserve">KENNEDY APARTMENT (KENNEDY ROAD)</t>
  </si>
  <si>
    <r>
      <rPr>
        <sz val="10"/>
        <rFont val="Noto Sans CJK SC"/>
        <family val="2"/>
      </rPr>
      <t xml:space="preserve">堅尼地大廈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堅尼地道</t>
    </r>
    <r>
      <rPr>
        <sz val="10"/>
        <rFont val="Arial"/>
        <family val="0"/>
        <charset val="1"/>
      </rPr>
      <t xml:space="preserve">)</t>
    </r>
  </si>
  <si>
    <t xml:space="preserve">HK696-1</t>
  </si>
  <si>
    <t xml:space="preserve">placed at the centre of zone HK696-1 — verify address</t>
  </si>
  <si>
    <t xml:space="preserve">E30299</t>
  </si>
  <si>
    <t xml:space="preserve">VICTORY INDUSTRIAL BUILDING</t>
  </si>
  <si>
    <t xml:space="preserve">勝利工業大廈</t>
  </si>
  <si>
    <t xml:space="preserve">Kwai Chung</t>
  </si>
  <si>
    <t xml:space="preserve">KN863-3</t>
  </si>
  <si>
    <t xml:space="preserve">placed at the centre of zone KN863-3 — verify address</t>
  </si>
  <si>
    <t xml:space="preserve">E41069</t>
  </si>
  <si>
    <t xml:space="preserve">KELLETT SCHOOL</t>
  </si>
  <si>
    <r>
      <rPr>
        <sz val="10"/>
        <rFont val="Noto Sans CJK SC"/>
        <family val="2"/>
      </rPr>
      <t xml:space="preserve">啟歷學校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九龍灣</t>
    </r>
    <r>
      <rPr>
        <sz val="10"/>
        <rFont val="Arial"/>
        <family val="0"/>
        <charset val="1"/>
      </rPr>
      <t xml:space="preserve">)</t>
    </r>
  </si>
  <si>
    <t xml:space="preserve">Kowloon Bay</t>
  </si>
  <si>
    <t xml:space="preserve">KN425-1</t>
  </si>
  <si>
    <t xml:space="preserve">placed at the centre of zone KN425-1 — verify address</t>
  </si>
  <si>
    <t xml:space="preserve">E25346</t>
  </si>
  <si>
    <t xml:space="preserve">TSUT HEI BUILDING</t>
  </si>
  <si>
    <r>
      <rPr>
        <sz val="10"/>
        <rFont val="Noto Sans CJK SC"/>
        <family val="2"/>
      </rPr>
      <t xml:space="preserve">七喜大廈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牛頭角定安街</t>
    </r>
    <r>
      <rPr>
        <sz val="10"/>
        <rFont val="Arial"/>
        <family val="0"/>
        <charset val="1"/>
      </rPr>
      <t xml:space="preserve">90-92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)</t>
    </r>
  </si>
  <si>
    <t xml:space="preserve">KN465-1</t>
  </si>
  <si>
    <t xml:space="preserve">placed at the centre of zone KN465-1 — verify address</t>
  </si>
  <si>
    <t xml:space="preserve">E81783</t>
  </si>
  <si>
    <t xml:space="preserve">KWU TUNG YIN LIU (DELIVERY TO KWU TUNG VILLAGE OFFICE ONLY)</t>
  </si>
  <si>
    <r>
      <rPr>
        <sz val="10"/>
        <rFont val="Noto Sans CJK SC"/>
        <family val="2"/>
      </rPr>
      <t xml:space="preserve">古洞煙寮區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只限古洞村公所交收</t>
    </r>
    <r>
      <rPr>
        <sz val="10"/>
        <rFont val="Arial"/>
        <family val="0"/>
        <charset val="1"/>
      </rPr>
      <t xml:space="preserve">)</t>
    </r>
  </si>
  <si>
    <t xml:space="preserve">E41518</t>
  </si>
  <si>
    <t xml:space="preserve">ANCHORS INTERNATIONAL NURSERY</t>
  </si>
  <si>
    <t xml:space="preserve">Tai Po Kau</t>
  </si>
  <si>
    <t xml:space="preserve">NT431-1</t>
  </si>
  <si>
    <t xml:space="preserve">placed at the centre of zone NT431-1 — verify address</t>
  </si>
  <si>
    <t xml:space="preserve">E61897</t>
  </si>
  <si>
    <t xml:space="preserve">KAM YICK TEA HOUSE (16 CASTLE PEAK ROAD KWU TUNG) (DELIVERY TO KWU TUNG VILLAGE OFFICE ONLY)</t>
  </si>
  <si>
    <r>
      <rPr>
        <sz val="10"/>
        <rFont val="Noto Sans CJK SC"/>
        <family val="2"/>
      </rPr>
      <t xml:space="preserve">錦益茶樓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古洞村大馬路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只限古洞村公所交收</t>
    </r>
    <r>
      <rPr>
        <sz val="10"/>
        <rFont val="Arial"/>
        <family val="0"/>
        <charset val="1"/>
      </rPr>
      <t xml:space="preserve">)</t>
    </r>
  </si>
  <si>
    <t xml:space="preserve">E26467</t>
  </si>
  <si>
    <t xml:space="preserve">GRANDVIEW MANSION</t>
  </si>
  <si>
    <r>
      <rPr>
        <sz val="10"/>
        <rFont val="Noto Sans CJK SC"/>
        <family val="2"/>
      </rPr>
      <t xml:space="preserve">豐景大廈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尖沙咀漆咸道南</t>
    </r>
    <r>
      <rPr>
        <sz val="10"/>
        <rFont val="Arial"/>
        <family val="0"/>
        <charset val="1"/>
      </rPr>
      <t xml:space="preserve">119A-119C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)</t>
    </r>
  </si>
  <si>
    <t xml:space="preserve">E95771</t>
  </si>
  <si>
    <t xml:space="preserve">RICHMOND HILL GARDEN BLOCK A (DELIVERY TO GROUND FLOOR ONLY)</t>
  </si>
  <si>
    <r>
      <rPr>
        <sz val="10"/>
        <rFont val="Noto Sans CJK SC"/>
        <family val="2"/>
      </rPr>
      <t xml:space="preserve">金山花園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</si>
  <si>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NT413-6</t>
  </si>
  <si>
    <t xml:space="preserve">placed at the centre of zone NT413-6 — verify address</t>
  </si>
  <si>
    <t xml:space="preserve">E95772</t>
  </si>
  <si>
    <t xml:space="preserve">RICHMOND HILL GARDEN BLOCK B (DELIVERY TO GROUND FLOOR ONLY)</t>
  </si>
  <si>
    <r>
      <rPr>
        <sz val="10"/>
        <rFont val="Noto Sans CJK SC"/>
        <family val="2"/>
      </rPr>
      <t xml:space="preserve">金山花園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</si>
  <si>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E95773</t>
  </si>
  <si>
    <t xml:space="preserve">RICHMOND HILL GARDEN BLOCK C (DELIVERY TO GROUND FLOOR ONLY)</t>
  </si>
  <si>
    <r>
      <rPr>
        <sz val="10"/>
        <rFont val="Noto Sans CJK SC"/>
        <family val="2"/>
      </rPr>
      <t xml:space="preserve">金山花園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</si>
  <si>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E95774</t>
  </si>
  <si>
    <t xml:space="preserve">RICHMOND HILL GARDEN BLOCK D (DELIVERY TO GROUND FLOOR ONLY)</t>
  </si>
  <si>
    <r>
      <rPr>
        <sz val="10"/>
        <rFont val="Noto Sans CJK SC"/>
        <family val="2"/>
      </rPr>
      <t xml:space="preserve">金山花園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</si>
  <si>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E95775</t>
  </si>
  <si>
    <t xml:space="preserve">RICHMOND HILL GARDEN BLOCK E (DELIVERY TO GROUND FLOOR ONLY)</t>
  </si>
  <si>
    <r>
      <rPr>
        <sz val="10"/>
        <rFont val="Noto Sans CJK SC"/>
        <family val="2"/>
      </rPr>
      <t xml:space="preserve">金山花園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</si>
  <si>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E28501</t>
  </si>
  <si>
    <t xml:space="preserve">SHEUNG SHUI KWU TUNG TUNG FONG</t>
  </si>
  <si>
    <t xml:space="preserve">上水古洞東方區</t>
  </si>
  <si>
    <t xml:space="preserve">E30028</t>
  </si>
  <si>
    <t xml:space="preserve">GOOD VIEW MANSION (DELIVERY TO GROUND FLOOR ONLY)</t>
  </si>
  <si>
    <r>
      <rPr>
        <sz val="10"/>
        <rFont val="Noto Sans CJK SC"/>
        <family val="2"/>
      </rPr>
      <t xml:space="preserve">好景樓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</si>
  <si>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NT723-1</t>
  </si>
  <si>
    <t xml:space="preserve">placed at the centre of zone NT723-1 — verify address</t>
  </si>
  <si>
    <t xml:space="preserve">E58711</t>
  </si>
  <si>
    <t xml:space="preserve">FUNG KAT HEUNG</t>
  </si>
  <si>
    <t xml:space="preserve">逢吉鄉</t>
  </si>
  <si>
    <t xml:space="preserve">San Tin</t>
  </si>
  <si>
    <t xml:space="preserve">NT714-1</t>
  </si>
  <si>
    <t xml:space="preserve">placed at the centre of zone NT714-1 — verify address</t>
  </si>
  <si>
    <t xml:space="preserve">E83397</t>
  </si>
  <si>
    <t xml:space="preserve">21-23 SOUTH WALL ROAD</t>
  </si>
  <si>
    <r>
      <rPr>
        <sz val="10"/>
        <rFont val="Noto Sans CJK SC"/>
        <family val="2"/>
      </rPr>
      <t xml:space="preserve">城南道</t>
    </r>
    <r>
      <rPr>
        <sz val="10"/>
        <rFont val="Arial"/>
        <family val="0"/>
        <charset val="1"/>
      </rPr>
      <t xml:space="preserve">21-23</t>
    </r>
    <r>
      <rPr>
        <sz val="10"/>
        <rFont val="Noto Sans CJK SC"/>
        <family val="2"/>
      </rPr>
      <t xml:space="preserve">號</t>
    </r>
  </si>
  <si>
    <t xml:space="preserve">Kowloon City</t>
  </si>
  <si>
    <t xml:space="preserve">KN810-1</t>
  </si>
  <si>
    <t xml:space="preserve">placed at the centre of zone KN810-1 — verify address</t>
  </si>
  <si>
    <t xml:space="preserve">E34421</t>
  </si>
  <si>
    <t xml:space="preserve">DILLS CORNER GARDEN (DELIVERY TO GROUND FLOOR ONLY)</t>
  </si>
  <si>
    <r>
      <rPr>
        <sz val="10"/>
        <rFont val="Noto Sans CJK SC"/>
        <family val="2"/>
      </rPr>
      <t xml:space="preserve">石仔嶺花園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</si>
  <si>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E29446</t>
  </si>
  <si>
    <t xml:space="preserve">PO FOOK MEMORIAL HALL(DELIVERY TO GROUND FLOOR ONLY)</t>
  </si>
  <si>
    <r>
      <rPr>
        <sz val="10"/>
        <rFont val="Noto Sans CJK SC"/>
        <family val="2"/>
      </rPr>
      <t xml:space="preserve">寶福紀念館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</si>
  <si>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NT215-1</t>
  </si>
  <si>
    <t xml:space="preserve">placed at the centre of zone NT215-1 — verify address</t>
  </si>
  <si>
    <t xml:space="preserve">E34048</t>
  </si>
  <si>
    <t xml:space="preserve">CHONG FAT COMMERICAL BUILDING</t>
  </si>
  <si>
    <t xml:space="preserve">昌發商業大廈</t>
  </si>
  <si>
    <t xml:space="preserve">Cheung Sha Wan</t>
  </si>
  <si>
    <t xml:space="preserve">KN872-1</t>
  </si>
  <si>
    <t xml:space="preserve">placed at the centre of zone KN872-1 — verify address</t>
  </si>
  <si>
    <t xml:space="preserve">E32882</t>
  </si>
  <si>
    <t xml:space="preserve">PING KONG TSUEN (DELIVERY TO GROUND FLOOR ONLY)</t>
  </si>
  <si>
    <r>
      <rPr>
        <sz val="10"/>
        <rFont val="Noto Sans CJK SC"/>
        <family val="2"/>
      </rPr>
      <t xml:space="preserve">丙崗村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</si>
  <si>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NT402-2</t>
  </si>
  <si>
    <t xml:space="preserve">placed at the centre of zone NT402-2 — verify address</t>
  </si>
  <si>
    <t xml:space="preserve">E25487</t>
  </si>
  <si>
    <t xml:space="preserve">WING LEE BUILDING</t>
  </si>
  <si>
    <r>
      <rPr>
        <sz val="10"/>
        <rFont val="Noto Sans CJK SC"/>
        <family val="2"/>
      </rPr>
      <t xml:space="preserve">永利樓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毓華街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)</t>
    </r>
  </si>
  <si>
    <t xml:space="preserve">E84200</t>
  </si>
  <si>
    <t xml:space="preserve">WAH SHING TSUEN (DELIVERY TO THE REFUSE ROOM ONLY)</t>
  </si>
  <si>
    <r>
      <rPr>
        <sz val="10"/>
        <rFont val="Noto Sans CJK SC"/>
        <family val="2"/>
      </rPr>
      <t xml:space="preserve">華盛村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只限華盛村垃圾站交收</t>
    </r>
    <r>
      <rPr>
        <sz val="10"/>
        <rFont val="Arial"/>
        <family val="0"/>
        <charset val="1"/>
      </rPr>
      <t xml:space="preserve">)</t>
    </r>
  </si>
  <si>
    <t xml:space="preserve">E32881</t>
  </si>
  <si>
    <t xml:space="preserve">PING KONG SAN TSUEN (DELIVERY TO GROUND FLOOR ONLY)</t>
  </si>
  <si>
    <r>
      <rPr>
        <sz val="10"/>
        <rFont val="Noto Sans CJK SC"/>
        <family val="2"/>
      </rPr>
      <t xml:space="preserve">丙崗新村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</si>
  <si>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E33271</t>
  </si>
  <si>
    <t xml:space="preserve">TUEN MUM GOVERNMENT SECOUNDARY SCHOOL</t>
  </si>
  <si>
    <t xml:space="preserve">屯門官立中學</t>
  </si>
  <si>
    <t xml:space="preserve">NT679-1</t>
  </si>
  <si>
    <t xml:space="preserve">placed at the centre of zone NT679-1 — verify address</t>
  </si>
  <si>
    <t xml:space="preserve">E82970</t>
  </si>
  <si>
    <t xml:space="preserve">MULTI-WELFARE SERVICES COMPLEX IN KWU TUNG NORTH</t>
  </si>
  <si>
    <t xml:space="preserve">古洞北福利服務綜合大樓</t>
  </si>
  <si>
    <t xml:space="preserve">E34852</t>
  </si>
  <si>
    <t xml:space="preserve">WINDSOR MANSIONS (DELIVERY TO GROUND FLOOR ONLY)</t>
  </si>
  <si>
    <r>
      <rPr>
        <sz val="10"/>
        <rFont val="Noto Sans CJK SC"/>
        <family val="2"/>
      </rPr>
      <t xml:space="preserve">宏豐臺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</si>
  <si>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E28963</t>
  </si>
  <si>
    <t xml:space="preserve">RIVIERA LODGE</t>
  </si>
  <si>
    <t xml:space="preserve">樂賢居</t>
  </si>
  <si>
    <t xml:space="preserve">NT418-3</t>
  </si>
  <si>
    <t xml:space="preserve">placed at the centre of zone NT418-3 — verify address</t>
  </si>
  <si>
    <t xml:space="preserve">E82900</t>
  </si>
  <si>
    <t xml:space="preserve">KING LAM GARDEN (DELIVERY TO GROUND FLOOR ONLY)</t>
  </si>
  <si>
    <r>
      <rPr>
        <sz val="10"/>
        <rFont val="Noto Sans CJK SC"/>
        <family val="2"/>
      </rPr>
      <t xml:space="preserve">瓊林苑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</si>
  <si>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E28414</t>
  </si>
  <si>
    <t xml:space="preserve">FU HEI GARDEN (DELIVERY TO GROUND FLOOR ONLY)</t>
  </si>
  <si>
    <r>
      <rPr>
        <sz val="10"/>
        <rFont val="Noto Sans CJK SC"/>
        <family val="2"/>
      </rPr>
      <t xml:space="preserve">富禧花園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只限地面交收</t>
    </r>
    <r>
      <rPr>
        <sz val="10"/>
        <rFont val="Arial"/>
        <family val="0"/>
        <charset val="1"/>
      </rPr>
      <t xml:space="preserve">)</t>
    </r>
  </si>
  <si>
    <t xml:space="preserve">E23992</t>
  </si>
  <si>
    <t xml:space="preserve">HEEP HONG SOCIETY CATHERINE LO CENTRE</t>
  </si>
  <si>
    <t xml:space="preserve">協康會慶華中心</t>
  </si>
  <si>
    <t xml:space="preserve">Pok Fu Lam</t>
  </si>
  <si>
    <t xml:space="preserve">HK793-1</t>
  </si>
  <si>
    <t xml:space="preserve">placed at the centre of zone HK793-1 — verify address</t>
  </si>
  <si>
    <t xml:space="preserve">E26784</t>
  </si>
  <si>
    <t xml:space="preserve">FU YEE COURT (11-16 FERRY STREET)</t>
  </si>
  <si>
    <r>
      <rPr>
        <sz val="10"/>
        <rFont val="Noto Sans CJK SC"/>
        <family val="2"/>
      </rPr>
      <t xml:space="preserve">富怡閣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油麻地渡船街</t>
    </r>
    <r>
      <rPr>
        <sz val="10"/>
        <rFont val="Arial"/>
        <family val="0"/>
        <charset val="1"/>
      </rPr>
      <t xml:space="preserve">11-16</t>
    </r>
    <r>
      <rPr>
        <sz val="10"/>
        <rFont val="Noto Sans CJK SC"/>
        <family val="2"/>
      </rPr>
      <t xml:space="preserve">號</t>
    </r>
    <r>
      <rPr>
        <sz val="10"/>
        <rFont val="Arial"/>
        <family val="0"/>
        <charset val="1"/>
      </rPr>
      <t xml:space="preserve">)</t>
    </r>
  </si>
  <si>
    <t xml:space="preserve">KN686-1</t>
  </si>
  <si>
    <t xml:space="preserve">placed at the centre of zone KN686-1 — verify address</t>
  </si>
  <si>
    <t xml:space="preserve">E61909</t>
  </si>
  <si>
    <t xml:space="preserve">GREENFIELD ENGLISH (INTERNATIONAL) KINDERGARTEN (LOHAS PARK)</t>
  </si>
  <si>
    <t xml:space="preserve">綠茵英文（國際）幼稚園（日出康城）</t>
  </si>
  <si>
    <t xml:space="preserve">Hang Hau</t>
  </si>
  <si>
    <t xml:space="preserve">KN249-1</t>
  </si>
  <si>
    <t xml:space="preserve">placed at the centre of zone KN249-1 — verify address</t>
  </si>
  <si>
    <t xml:space="preserve">E84916</t>
  </si>
  <si>
    <t xml:space="preserve">LE MONT PHASE 1 TOWER 2</t>
  </si>
  <si>
    <r>
      <rPr>
        <sz val="10"/>
        <rFont val="Noto Sans CJK SC"/>
        <family val="2"/>
      </rPr>
      <t xml:space="preserve">上然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期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座</t>
    </r>
  </si>
  <si>
    <t xml:space="preserve">NT422-1</t>
  </si>
  <si>
    <t xml:space="preserve">placed at the centre of zone NT422-1 — verify address</t>
  </si>
  <si>
    <t xml:space="preserve">E84917</t>
  </si>
  <si>
    <t xml:space="preserve">LE MONT PHASE 2 TOWER 1</t>
  </si>
  <si>
    <r>
      <rPr>
        <sz val="10"/>
        <rFont val="Noto Sans CJK SC"/>
        <family val="2"/>
      </rPr>
      <t xml:space="preserve">上然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期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座</t>
    </r>
  </si>
  <si>
    <t xml:space="preserve">E85311</t>
  </si>
  <si>
    <t xml:space="preserve">LE MONT PHASE 2 TOWER 6</t>
  </si>
  <si>
    <r>
      <rPr>
        <sz val="10"/>
        <rFont val="Noto Sans CJK SC"/>
        <family val="2"/>
      </rPr>
      <t xml:space="preserve">上然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期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座</t>
    </r>
  </si>
  <si>
    <t xml:space="preserve">E85312</t>
  </si>
  <si>
    <t xml:space="preserve">LE MONT PHASE 2 TOWER 7</t>
  </si>
  <si>
    <r>
      <rPr>
        <sz val="10"/>
        <rFont val="Noto Sans CJK SC"/>
        <family val="2"/>
      </rPr>
      <t xml:space="preserve">上然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期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座</t>
    </r>
  </si>
  <si>
    <t xml:space="preserve">E85313</t>
  </si>
  <si>
    <t xml:space="preserve">LE MONT PHASE 3 TOWER 3</t>
  </si>
  <si>
    <r>
      <rPr>
        <sz val="10"/>
        <rFont val="Noto Sans CJK SC"/>
        <family val="2"/>
      </rPr>
      <t xml:space="preserve">上然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期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座</t>
    </r>
  </si>
  <si>
    <t xml:space="preserve">E95765</t>
  </si>
  <si>
    <t xml:space="preserve">LE MONT PHASE 3 TOWER 5</t>
  </si>
  <si>
    <r>
      <rPr>
        <sz val="10"/>
        <rFont val="Noto Sans CJK SC"/>
        <family val="2"/>
      </rPr>
      <t xml:space="preserve">上然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期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座</t>
    </r>
  </si>
  <si>
    <t xml:space="preserve">E58883</t>
  </si>
  <si>
    <t xml:space="preserve">EDEN VILLA (HOUSE)</t>
  </si>
  <si>
    <r>
      <rPr>
        <sz val="10"/>
        <rFont val="Noto Sans CJK SC"/>
        <family val="2"/>
      </rPr>
      <t xml:space="preserve">伊甸雅苑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洋房</t>
    </r>
    <r>
      <rPr>
        <sz val="10"/>
        <rFont val="Arial"/>
        <family val="0"/>
        <charset val="1"/>
      </rPr>
      <t xml:space="preserve">)</t>
    </r>
  </si>
  <si>
    <t xml:space="preserve">Map tab — abnormal coordinate correction (as of address list: Oct 2)</t>
  </si>
  <si>
    <t xml:space="preserve">Flagged addresses (Data Check)</t>
  </si>
  <si>
    <t xml:space="preserve">Corrected from sibling block of same estate (medium)</t>
  </si>
  <si>
    <t xml:space="preserve">Placed at delivery-zone centre (low, approximate)</t>
  </si>
  <si>
    <t xml:space="preserve">Verified coordinates filled in</t>
  </si>
  <si>
    <t xml:space="preserve">How this list works</t>
  </si>
  <si>
    <t xml:space="preserve">1. "Original" = coordinates in the open-address list that failed the map check (far from the estate's own delivery zone).</t>
  </si>
  <si>
    <t xml:space="preserve">2. "Adjusted" = what the updated Map tab now plots. Sibling = same estate's other block with a normal coordinate. Zone centre = centre of the delivery zone (+ up to 300 m spread) — approximate only.</t>
  </si>
  <si>
    <t xml:space="preserve">3. Most flagged points are wrong because the geocoder matched a same-named place elsewhere (e.g. Jumbo Plaza → Jumbo Kingdom, Aberdeen), so the true location cannot be derived from the data alone.</t>
  </si>
  <si>
    <t xml:space="preserve">4. Paste verified coordinates into the yellow columns P:Q. FINAL (R:S) uses verified if present, else adjusted. Then run apply_map_fixes.py to push them into index.html (window.__MAP_FIX__).</t>
  </si>
  <si>
    <t xml:space="preserve">5. Low-confidence points are kept out of coverage outlines, zone labels and area centres until verified.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</si>
</sst>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10" min="9" style="0" width="10"/>
    <col collapsed="false" customWidth="true" hidden="false" outlineLevel="0" max="13" min="11" style="0" width="12"/>
    <col collapsed="false" customWidth="true" hidden="false" outlineLevel="0" max="14" min="14" style="0" width="11"/>
    <col collapsed="false" customWidth="true" hidden="false" outlineLevel="0" max="15" min="15" style="0" width="48"/>
    <col collapsed="false" customWidth="true" hidden="false" outlineLevel="0" max="17" min="16" style="0" width="14"/>
    <col collapsed="false" customWidth="true" hidden="false" outlineLevel="0" max="21" min="18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3" t="s">
        <v>23</v>
      </c>
      <c r="D2" s="2" t="s">
        <v>24</v>
      </c>
      <c r="E2" s="2" t="s">
        <v>25</v>
      </c>
      <c r="F2" s="2" t="s">
        <v>26</v>
      </c>
      <c r="G2" s="4" t="n">
        <v>22.446445</v>
      </c>
      <c r="H2" s="4" t="n">
        <v>114.021521</v>
      </c>
      <c r="I2" s="2" t="n">
        <v>19.92</v>
      </c>
      <c r="J2" s="2" t="n">
        <v>2</v>
      </c>
      <c r="K2" s="4" t="n">
        <v>22.326151</v>
      </c>
      <c r="L2" s="4" t="n">
        <v>114.165773</v>
      </c>
      <c r="M2" s="2" t="s">
        <v>27</v>
      </c>
      <c r="N2" s="5" t="s">
        <v>28</v>
      </c>
      <c r="O2" s="2" t="s">
        <v>29</v>
      </c>
      <c r="P2" s="6"/>
      <c r="Q2" s="6"/>
      <c r="R2" s="7" t="n">
        <f aca="false">IF(AND(ISNUMBER(P2),ISNUMBER(Q2)),P2,K2)</f>
        <v>22.326151</v>
      </c>
      <c r="S2" s="7" t="n">
        <f aca="false">IF(AND(ISNUMBER(P2),ISNUMBER(Q2)),Q2,L2)</f>
        <v>114.165773</v>
      </c>
      <c r="T2" s="4" t="n">
        <v>22.321698</v>
      </c>
      <c r="U2" s="4" t="n">
        <v>114.161057</v>
      </c>
    </row>
    <row r="3" customFormat="false" ht="15" hidden="false" customHeight="false" outlineLevel="0" collapsed="false">
      <c r="A3" s="2" t="s">
        <v>30</v>
      </c>
      <c r="B3" s="2" t="s">
        <v>31</v>
      </c>
      <c r="C3" s="3" t="s">
        <v>32</v>
      </c>
      <c r="D3" s="2" t="s">
        <v>33</v>
      </c>
      <c r="E3" s="2" t="s">
        <v>25</v>
      </c>
      <c r="F3" s="2" t="s">
        <v>34</v>
      </c>
      <c r="G3" s="4" t="n">
        <v>22.428737</v>
      </c>
      <c r="H3" s="4" t="n">
        <v>114.200774</v>
      </c>
      <c r="I3" s="2" t="n">
        <v>13.18</v>
      </c>
      <c r="J3" s="2" t="n">
        <v>2</v>
      </c>
      <c r="K3" s="4" t="n">
        <v>22.311183</v>
      </c>
      <c r="L3" s="4" t="n">
        <v>114.182859</v>
      </c>
      <c r="M3" s="2" t="s">
        <v>27</v>
      </c>
      <c r="N3" s="5" t="s">
        <v>28</v>
      </c>
      <c r="O3" s="2" t="s">
        <v>35</v>
      </c>
      <c r="P3" s="6"/>
      <c r="Q3" s="6"/>
      <c r="R3" s="7" t="n">
        <f aca="false">IF(AND(ISNUMBER(P3),ISNUMBER(Q3)),P3,K3)</f>
        <v>22.311183</v>
      </c>
      <c r="S3" s="7" t="n">
        <f aca="false">IF(AND(ISNUMBER(P3),ISNUMBER(Q3)),Q3,L3)</f>
        <v>114.182859</v>
      </c>
      <c r="T3" s="4" t="n">
        <v>22.311183</v>
      </c>
      <c r="U3" s="4" t="n">
        <v>114.182452</v>
      </c>
    </row>
    <row r="4" customFormat="false" ht="15" hidden="false" customHeight="false" outlineLevel="0" collapsed="false">
      <c r="A4" s="2" t="s">
        <v>36</v>
      </c>
      <c r="B4" s="2" t="s">
        <v>37</v>
      </c>
      <c r="C4" s="3" t="s">
        <v>38</v>
      </c>
      <c r="D4" s="2" t="s">
        <v>33</v>
      </c>
      <c r="E4" s="2" t="s">
        <v>25</v>
      </c>
      <c r="F4" s="2" t="s">
        <v>34</v>
      </c>
      <c r="G4" s="4" t="n">
        <v>22.428737</v>
      </c>
      <c r="H4" s="4" t="n">
        <v>114.200774</v>
      </c>
      <c r="I4" s="2" t="n">
        <v>13.18</v>
      </c>
      <c r="J4" s="2" t="n">
        <v>2</v>
      </c>
      <c r="K4" s="4" t="n">
        <v>22.311183</v>
      </c>
      <c r="L4" s="4" t="n">
        <v>114.182859</v>
      </c>
      <c r="M4" s="2" t="s">
        <v>27</v>
      </c>
      <c r="N4" s="5" t="s">
        <v>28</v>
      </c>
      <c r="O4" s="2" t="s">
        <v>35</v>
      </c>
      <c r="P4" s="6"/>
      <c r="Q4" s="6"/>
      <c r="R4" s="7" t="n">
        <f aca="false">IF(AND(ISNUMBER(P4),ISNUMBER(Q4)),P4,K4)</f>
        <v>22.311183</v>
      </c>
      <c r="S4" s="7" t="n">
        <f aca="false">IF(AND(ISNUMBER(P4),ISNUMBER(Q4)),Q4,L4)</f>
        <v>114.182859</v>
      </c>
      <c r="T4" s="4" t="n">
        <v>22.311183</v>
      </c>
      <c r="U4" s="4" t="n">
        <v>114.182452</v>
      </c>
    </row>
    <row r="5" customFormat="false" ht="15" hidden="false" customHeight="false" outlineLevel="0" collapsed="false">
      <c r="A5" s="2" t="s">
        <v>39</v>
      </c>
      <c r="B5" s="2" t="s">
        <v>40</v>
      </c>
      <c r="C5" s="3" t="s">
        <v>41</v>
      </c>
      <c r="D5" s="2" t="s">
        <v>33</v>
      </c>
      <c r="E5" s="2" t="s">
        <v>25</v>
      </c>
      <c r="F5" s="2" t="s">
        <v>34</v>
      </c>
      <c r="G5" s="4" t="n">
        <v>22.428737</v>
      </c>
      <c r="H5" s="4" t="n">
        <v>114.200774</v>
      </c>
      <c r="I5" s="2" t="n">
        <v>13.18</v>
      </c>
      <c r="J5" s="2" t="n">
        <v>2</v>
      </c>
      <c r="K5" s="4" t="n">
        <v>22.311183</v>
      </c>
      <c r="L5" s="4" t="n">
        <v>114.182859</v>
      </c>
      <c r="M5" s="2" t="s">
        <v>27</v>
      </c>
      <c r="N5" s="5" t="s">
        <v>28</v>
      </c>
      <c r="O5" s="2" t="s">
        <v>35</v>
      </c>
      <c r="P5" s="6"/>
      <c r="Q5" s="6"/>
      <c r="R5" s="7" t="n">
        <f aca="false">IF(AND(ISNUMBER(P5),ISNUMBER(Q5)),P5,K5)</f>
        <v>22.311183</v>
      </c>
      <c r="S5" s="7" t="n">
        <f aca="false">IF(AND(ISNUMBER(P5),ISNUMBER(Q5)),Q5,L5)</f>
        <v>114.182859</v>
      </c>
      <c r="T5" s="4" t="n">
        <v>22.311183</v>
      </c>
      <c r="U5" s="4" t="n">
        <v>114.182452</v>
      </c>
    </row>
    <row r="6" customFormat="false" ht="15" hidden="false" customHeight="false" outlineLevel="0" collapsed="false">
      <c r="A6" s="2" t="s">
        <v>42</v>
      </c>
      <c r="B6" s="2" t="s">
        <v>43</v>
      </c>
      <c r="C6" s="3" t="s">
        <v>44</v>
      </c>
      <c r="D6" s="2" t="s">
        <v>33</v>
      </c>
      <c r="E6" s="2" t="s">
        <v>25</v>
      </c>
      <c r="F6" s="2" t="s">
        <v>34</v>
      </c>
      <c r="G6" s="4" t="n">
        <v>22.428737</v>
      </c>
      <c r="H6" s="4" t="n">
        <v>114.200774</v>
      </c>
      <c r="I6" s="2" t="n">
        <v>13.18</v>
      </c>
      <c r="J6" s="2" t="n">
        <v>2</v>
      </c>
      <c r="K6" s="4" t="n">
        <v>22.311183</v>
      </c>
      <c r="L6" s="4" t="n">
        <v>114.182859</v>
      </c>
      <c r="M6" s="2" t="s">
        <v>27</v>
      </c>
      <c r="N6" s="5" t="s">
        <v>28</v>
      </c>
      <c r="O6" s="2" t="s">
        <v>35</v>
      </c>
      <c r="P6" s="6"/>
      <c r="Q6" s="6"/>
      <c r="R6" s="7" t="n">
        <f aca="false">IF(AND(ISNUMBER(P6),ISNUMBER(Q6)),P6,K6)</f>
        <v>22.311183</v>
      </c>
      <c r="S6" s="7" t="n">
        <f aca="false">IF(AND(ISNUMBER(P6),ISNUMBER(Q6)),Q6,L6)</f>
        <v>114.182859</v>
      </c>
      <c r="T6" s="4" t="n">
        <v>22.311183</v>
      </c>
      <c r="U6" s="4" t="n">
        <v>114.182452</v>
      </c>
    </row>
    <row r="7" customFormat="false" ht="15" hidden="false" customHeight="false" outlineLevel="0" collapsed="false">
      <c r="A7" s="2" t="s">
        <v>45</v>
      </c>
      <c r="B7" s="2" t="s">
        <v>46</v>
      </c>
      <c r="C7" s="3" t="s">
        <v>47</v>
      </c>
      <c r="D7" s="2" t="s">
        <v>48</v>
      </c>
      <c r="E7" s="2" t="s">
        <v>49</v>
      </c>
      <c r="F7" s="2" t="s">
        <v>50</v>
      </c>
      <c r="G7" s="4" t="n">
        <v>22.372577</v>
      </c>
      <c r="H7" s="4" t="n">
        <v>113.994508</v>
      </c>
      <c r="I7" s="2" t="n">
        <v>2.51</v>
      </c>
      <c r="J7" s="2" t="n">
        <v>2</v>
      </c>
      <c r="K7" s="4" t="n">
        <v>22.384501</v>
      </c>
      <c r="L7" s="4" t="n">
        <v>113.9738</v>
      </c>
      <c r="M7" s="2" t="s">
        <v>27</v>
      </c>
      <c r="N7" s="5" t="s">
        <v>28</v>
      </c>
      <c r="O7" s="2" t="s">
        <v>51</v>
      </c>
      <c r="P7" s="6"/>
      <c r="Q7" s="6"/>
      <c r="R7" s="7" t="n">
        <f aca="false">IF(AND(ISNUMBER(P7),ISNUMBER(Q7)),P7,K7)</f>
        <v>22.384501</v>
      </c>
      <c r="S7" s="7" t="n">
        <f aca="false">IF(AND(ISNUMBER(P7),ISNUMBER(Q7)),Q7,L7)</f>
        <v>113.9738</v>
      </c>
      <c r="T7" s="4" t="n">
        <v>22.384498</v>
      </c>
      <c r="U7" s="4" t="n">
        <v>113.97379</v>
      </c>
    </row>
    <row r="8" customFormat="false" ht="15" hidden="false" customHeight="false" outlineLevel="0" collapsed="false">
      <c r="A8" s="2" t="s">
        <v>52</v>
      </c>
      <c r="B8" s="2" t="s">
        <v>53</v>
      </c>
      <c r="C8" s="3" t="s">
        <v>54</v>
      </c>
      <c r="D8" s="2" t="s">
        <v>55</v>
      </c>
      <c r="E8" s="2" t="s">
        <v>49</v>
      </c>
      <c r="F8" s="2" t="s">
        <v>56</v>
      </c>
      <c r="G8" s="4" t="n">
        <v>22.444895</v>
      </c>
      <c r="H8" s="4" t="n">
        <v>114.015125</v>
      </c>
      <c r="I8" s="2" t="n">
        <v>2.41</v>
      </c>
      <c r="J8" s="2" t="n">
        <v>2.16</v>
      </c>
      <c r="K8" s="4" t="n">
        <v>22.444418</v>
      </c>
      <c r="L8" s="4" t="n">
        <v>114.01239</v>
      </c>
      <c r="M8" s="2" t="s">
        <v>27</v>
      </c>
      <c r="N8" s="5" t="s">
        <v>28</v>
      </c>
      <c r="O8" s="2" t="s">
        <v>57</v>
      </c>
      <c r="P8" s="6"/>
      <c r="Q8" s="6"/>
      <c r="R8" s="7" t="n">
        <f aca="false">IF(AND(ISNUMBER(P8),ISNUMBER(Q8)),P8,K8)</f>
        <v>22.444418</v>
      </c>
      <c r="S8" s="7" t="n">
        <f aca="false">IF(AND(ISNUMBER(P8),ISNUMBER(Q8)),Q8,L8)</f>
        <v>114.01239</v>
      </c>
      <c r="T8" s="4" t="n">
        <v>22.433511</v>
      </c>
      <c r="U8" s="4" t="n">
        <v>113.994901</v>
      </c>
    </row>
    <row r="9" customFormat="false" ht="15" hidden="false" customHeight="false" outlineLevel="0" collapsed="false">
      <c r="A9" s="2" t="s">
        <v>58</v>
      </c>
      <c r="B9" s="2" t="s">
        <v>59</v>
      </c>
      <c r="C9" s="3" t="s">
        <v>60</v>
      </c>
      <c r="D9" s="2" t="s">
        <v>55</v>
      </c>
      <c r="E9" s="2" t="s">
        <v>49</v>
      </c>
      <c r="F9" s="2" t="s">
        <v>56</v>
      </c>
      <c r="G9" s="4" t="n">
        <v>22.444679</v>
      </c>
      <c r="H9" s="4" t="n">
        <v>114.012947</v>
      </c>
      <c r="I9" s="2" t="n">
        <v>2.21</v>
      </c>
      <c r="J9" s="2" t="n">
        <v>2.16</v>
      </c>
      <c r="K9" s="4" t="n">
        <v>22.444418</v>
      </c>
      <c r="L9" s="4" t="n">
        <v>114.01239</v>
      </c>
      <c r="M9" s="2" t="s">
        <v>27</v>
      </c>
      <c r="N9" s="5" t="s">
        <v>28</v>
      </c>
      <c r="O9" s="2" t="s">
        <v>57</v>
      </c>
      <c r="P9" s="6"/>
      <c r="Q9" s="6"/>
      <c r="R9" s="7" t="n">
        <f aca="false">IF(AND(ISNUMBER(P9),ISNUMBER(Q9)),P9,K9)</f>
        <v>22.444418</v>
      </c>
      <c r="S9" s="7" t="n">
        <f aca="false">IF(AND(ISNUMBER(P9),ISNUMBER(Q9)),Q9,L9)</f>
        <v>114.01239</v>
      </c>
      <c r="T9" s="4" t="n">
        <v>22.433511</v>
      </c>
      <c r="U9" s="4" t="n">
        <v>113.994901</v>
      </c>
    </row>
    <row r="10" customFormat="false" ht="15" hidden="false" customHeight="false" outlineLevel="0" collapsed="false">
      <c r="A10" s="2" t="s">
        <v>61</v>
      </c>
      <c r="B10" s="2" t="s">
        <v>62</v>
      </c>
      <c r="C10" s="3" t="s">
        <v>63</v>
      </c>
      <c r="D10" s="2" t="s">
        <v>55</v>
      </c>
      <c r="E10" s="2" t="s">
        <v>49</v>
      </c>
      <c r="F10" s="2" t="s">
        <v>56</v>
      </c>
      <c r="G10" s="4" t="n">
        <v>22.444934</v>
      </c>
      <c r="H10" s="4" t="n">
        <v>114.012715</v>
      </c>
      <c r="I10" s="2" t="n">
        <v>2.2</v>
      </c>
      <c r="J10" s="2" t="n">
        <v>2.16</v>
      </c>
      <c r="K10" s="4" t="n">
        <v>22.444418</v>
      </c>
      <c r="L10" s="4" t="n">
        <v>114.01239</v>
      </c>
      <c r="M10" s="2" t="s">
        <v>27</v>
      </c>
      <c r="N10" s="5" t="s">
        <v>28</v>
      </c>
      <c r="O10" s="2" t="s">
        <v>57</v>
      </c>
      <c r="P10" s="6"/>
      <c r="Q10" s="6"/>
      <c r="R10" s="7" t="n">
        <f aca="false">IF(AND(ISNUMBER(P10),ISNUMBER(Q10)),P10,K10)</f>
        <v>22.444418</v>
      </c>
      <c r="S10" s="7" t="n">
        <f aca="false">IF(AND(ISNUMBER(P10),ISNUMBER(Q10)),Q10,L10)</f>
        <v>114.01239</v>
      </c>
      <c r="T10" s="4" t="n">
        <v>22.433511</v>
      </c>
      <c r="U10" s="4" t="n">
        <v>113.994901</v>
      </c>
    </row>
    <row r="11" customFormat="false" ht="15" hidden="false" customHeight="false" outlineLevel="0" collapsed="false">
      <c r="A11" s="2" t="s">
        <v>64</v>
      </c>
      <c r="B11" s="2" t="s">
        <v>65</v>
      </c>
      <c r="C11" s="3" t="s">
        <v>66</v>
      </c>
      <c r="D11" s="2" t="s">
        <v>55</v>
      </c>
      <c r="E11" s="2" t="s">
        <v>49</v>
      </c>
      <c r="F11" s="2" t="s">
        <v>56</v>
      </c>
      <c r="G11" s="4" t="n">
        <v>22.444454</v>
      </c>
      <c r="H11" s="4" t="n">
        <v>114.012994</v>
      </c>
      <c r="I11" s="2" t="n">
        <v>2.2</v>
      </c>
      <c r="J11" s="2" t="n">
        <v>2.16</v>
      </c>
      <c r="K11" s="4" t="n">
        <v>22.444418</v>
      </c>
      <c r="L11" s="4" t="n">
        <v>114.01239</v>
      </c>
      <c r="M11" s="2" t="s">
        <v>27</v>
      </c>
      <c r="N11" s="5" t="s">
        <v>28</v>
      </c>
      <c r="O11" s="2" t="s">
        <v>57</v>
      </c>
      <c r="P11" s="6"/>
      <c r="Q11" s="6"/>
      <c r="R11" s="7" t="n">
        <f aca="false">IF(AND(ISNUMBER(P11),ISNUMBER(Q11)),P11,K11)</f>
        <v>22.444418</v>
      </c>
      <c r="S11" s="7" t="n">
        <f aca="false">IF(AND(ISNUMBER(P11),ISNUMBER(Q11)),Q11,L11)</f>
        <v>114.01239</v>
      </c>
      <c r="T11" s="4" t="n">
        <v>22.433511</v>
      </c>
      <c r="U11" s="4" t="n">
        <v>113.994901</v>
      </c>
    </row>
    <row r="12" customFormat="false" ht="15" hidden="false" customHeight="false" outlineLevel="0" collapsed="false">
      <c r="A12" s="2" t="s">
        <v>67</v>
      </c>
      <c r="B12" s="2" t="s">
        <v>68</v>
      </c>
      <c r="C12" s="3" t="s">
        <v>69</v>
      </c>
      <c r="D12" s="2" t="s">
        <v>55</v>
      </c>
      <c r="E12" s="2" t="s">
        <v>49</v>
      </c>
      <c r="F12" s="2" t="s">
        <v>56</v>
      </c>
      <c r="G12" s="4" t="n">
        <v>22.444752</v>
      </c>
      <c r="H12" s="4" t="n">
        <v>114.012483</v>
      </c>
      <c r="I12" s="2" t="n">
        <v>2.17</v>
      </c>
      <c r="J12" s="2" t="n">
        <v>2.16</v>
      </c>
      <c r="K12" s="4" t="n">
        <v>22.444418</v>
      </c>
      <c r="L12" s="4" t="n">
        <v>114.01239</v>
      </c>
      <c r="M12" s="2" t="s">
        <v>27</v>
      </c>
      <c r="N12" s="5" t="s">
        <v>28</v>
      </c>
      <c r="O12" s="2" t="s">
        <v>57</v>
      </c>
      <c r="P12" s="6"/>
      <c r="Q12" s="6"/>
      <c r="R12" s="7" t="n">
        <f aca="false">IF(AND(ISNUMBER(P12),ISNUMBER(Q12)),P12,K12)</f>
        <v>22.444418</v>
      </c>
      <c r="S12" s="7" t="n">
        <f aca="false">IF(AND(ISNUMBER(P12),ISNUMBER(Q12)),Q12,L12)</f>
        <v>114.01239</v>
      </c>
      <c r="T12" s="4" t="n">
        <v>22.433511</v>
      </c>
      <c r="U12" s="4" t="n">
        <v>113.994901</v>
      </c>
    </row>
    <row r="13" customFormat="false" ht="15" hidden="false" customHeight="false" outlineLevel="0" collapsed="false">
      <c r="A13" s="2" t="s">
        <v>70</v>
      </c>
      <c r="B13" s="2" t="s">
        <v>71</v>
      </c>
      <c r="C13" s="3" t="s">
        <v>72</v>
      </c>
      <c r="D13" s="2" t="s">
        <v>73</v>
      </c>
      <c r="E13" s="2" t="s">
        <v>74</v>
      </c>
      <c r="F13" s="2" t="s">
        <v>75</v>
      </c>
      <c r="G13" s="4" t="n">
        <v>22.249277</v>
      </c>
      <c r="H13" s="4" t="n">
        <v>114.154881</v>
      </c>
      <c r="I13" s="2" t="n">
        <v>28.45</v>
      </c>
      <c r="J13" s="2" t="n">
        <v>6</v>
      </c>
      <c r="K13" s="4" t="n">
        <v>22.503161</v>
      </c>
      <c r="L13" s="4" t="n">
        <v>114.126915</v>
      </c>
      <c r="M13" s="2" t="s">
        <v>76</v>
      </c>
      <c r="N13" s="8" t="s">
        <v>77</v>
      </c>
      <c r="O13" s="2" t="s">
        <v>78</v>
      </c>
      <c r="P13" s="6"/>
      <c r="Q13" s="6"/>
      <c r="R13" s="7" t="n">
        <f aca="false">IF(AND(ISNUMBER(P13),ISNUMBER(Q13)),P13,K13)</f>
        <v>22.503161</v>
      </c>
      <c r="S13" s="7" t="n">
        <f aca="false">IF(AND(ISNUMBER(P13),ISNUMBER(Q13)),Q13,L13)</f>
        <v>114.126915</v>
      </c>
      <c r="T13" s="4" t="n">
        <v>22.504417</v>
      </c>
      <c r="U13" s="4" t="n">
        <v>114.12881</v>
      </c>
    </row>
    <row r="14" customFormat="false" ht="15" hidden="false" customHeight="false" outlineLevel="0" collapsed="false">
      <c r="A14" s="2" t="s">
        <v>79</v>
      </c>
      <c r="B14" s="2" t="s">
        <v>80</v>
      </c>
      <c r="C14" s="3" t="s">
        <v>81</v>
      </c>
      <c r="D14" s="2" t="s">
        <v>82</v>
      </c>
      <c r="E14" s="2" t="s">
        <v>49</v>
      </c>
      <c r="F14" s="2" t="s">
        <v>83</v>
      </c>
      <c r="G14" s="4" t="n">
        <v>22.269426</v>
      </c>
      <c r="H14" s="4" t="n">
        <v>114.194702</v>
      </c>
      <c r="I14" s="2" t="n">
        <v>27.96</v>
      </c>
      <c r="J14" s="2" t="n">
        <v>2</v>
      </c>
      <c r="K14" s="4" t="n">
        <v>22.446307</v>
      </c>
      <c r="L14" s="4" t="n">
        <v>114.003372</v>
      </c>
      <c r="M14" s="2" t="s">
        <v>76</v>
      </c>
      <c r="N14" s="8" t="s">
        <v>77</v>
      </c>
      <c r="O14" s="2" t="s">
        <v>84</v>
      </c>
      <c r="P14" s="6"/>
      <c r="Q14" s="6"/>
      <c r="R14" s="7" t="n">
        <f aca="false">IF(AND(ISNUMBER(P14),ISNUMBER(Q14)),P14,K14)</f>
        <v>22.446307</v>
      </c>
      <c r="S14" s="7" t="n">
        <f aca="false">IF(AND(ISNUMBER(P14),ISNUMBER(Q14)),Q14,L14)</f>
        <v>114.003372</v>
      </c>
      <c r="T14" s="4" t="n">
        <v>22.448049</v>
      </c>
      <c r="U14" s="4" t="n">
        <v>114.002761</v>
      </c>
    </row>
    <row r="15" customFormat="false" ht="15" hidden="false" customHeight="false" outlineLevel="0" collapsed="false">
      <c r="A15" s="2" t="s">
        <v>85</v>
      </c>
      <c r="B15" s="2" t="s">
        <v>86</v>
      </c>
      <c r="C15" s="3" t="s">
        <v>87</v>
      </c>
      <c r="D15" s="2" t="s">
        <v>82</v>
      </c>
      <c r="E15" s="2" t="s">
        <v>49</v>
      </c>
      <c r="F15" s="2" t="s">
        <v>88</v>
      </c>
      <c r="G15" s="4" t="n">
        <v>22.275478</v>
      </c>
      <c r="H15" s="4" t="n">
        <v>114.169023</v>
      </c>
      <c r="I15" s="2" t="n">
        <v>27.23</v>
      </c>
      <c r="J15" s="2" t="n">
        <v>2</v>
      </c>
      <c r="K15" s="4" t="n">
        <v>22.461755</v>
      </c>
      <c r="L15" s="4" t="n">
        <v>113.996493</v>
      </c>
      <c r="M15" s="2" t="s">
        <v>76</v>
      </c>
      <c r="N15" s="8" t="s">
        <v>77</v>
      </c>
      <c r="O15" s="2" t="s">
        <v>89</v>
      </c>
      <c r="P15" s="6"/>
      <c r="Q15" s="6"/>
      <c r="R15" s="7" t="n">
        <f aca="false">IF(AND(ISNUMBER(P15),ISNUMBER(Q15)),P15,K15)</f>
        <v>22.461755</v>
      </c>
      <c r="S15" s="7" t="n">
        <f aca="false">IF(AND(ISNUMBER(P15),ISNUMBER(Q15)),Q15,L15)</f>
        <v>113.996493</v>
      </c>
      <c r="T15" s="4" t="n">
        <v>22.461091</v>
      </c>
      <c r="U15" s="4" t="n">
        <v>113.995678</v>
      </c>
    </row>
    <row r="16" customFormat="false" ht="15" hidden="false" customHeight="false" outlineLevel="0" collapsed="false">
      <c r="A16" s="2" t="s">
        <v>90</v>
      </c>
      <c r="B16" s="2" t="s">
        <v>91</v>
      </c>
      <c r="C16" s="3" t="s">
        <v>92</v>
      </c>
      <c r="D16" s="2" t="s">
        <v>82</v>
      </c>
      <c r="E16" s="2" t="s">
        <v>49</v>
      </c>
      <c r="F16" s="2" t="s">
        <v>93</v>
      </c>
      <c r="G16" s="4" t="n">
        <v>22.312841</v>
      </c>
      <c r="H16" s="4" t="n">
        <v>114.221403</v>
      </c>
      <c r="I16" s="2" t="n">
        <v>26.89</v>
      </c>
      <c r="J16" s="2" t="n">
        <v>2</v>
      </c>
      <c r="K16" s="4" t="n">
        <v>22.455513</v>
      </c>
      <c r="L16" s="4" t="n">
        <v>114.006664</v>
      </c>
      <c r="M16" s="2" t="s">
        <v>76</v>
      </c>
      <c r="N16" s="8" t="s">
        <v>77</v>
      </c>
      <c r="O16" s="2" t="s">
        <v>94</v>
      </c>
      <c r="P16" s="6"/>
      <c r="Q16" s="6"/>
      <c r="R16" s="7" t="n">
        <f aca="false">IF(AND(ISNUMBER(P16),ISNUMBER(Q16)),P16,K16)</f>
        <v>22.455513</v>
      </c>
      <c r="S16" s="7" t="n">
        <f aca="false">IF(AND(ISNUMBER(P16),ISNUMBER(Q16)),Q16,L16)</f>
        <v>114.006664</v>
      </c>
      <c r="T16" s="4" t="n">
        <v>22.452919</v>
      </c>
      <c r="U16" s="4" t="n">
        <v>114.007274</v>
      </c>
    </row>
    <row r="17" customFormat="false" ht="15" hidden="false" customHeight="false" outlineLevel="0" collapsed="false">
      <c r="A17" s="2" t="s">
        <v>95</v>
      </c>
      <c r="B17" s="2" t="s">
        <v>96</v>
      </c>
      <c r="C17" s="3" t="s">
        <v>97</v>
      </c>
      <c r="D17" s="2" t="s">
        <v>98</v>
      </c>
      <c r="E17" s="2" t="s">
        <v>25</v>
      </c>
      <c r="F17" s="2" t="s">
        <v>99</v>
      </c>
      <c r="G17" s="4" t="n">
        <v>22.41075</v>
      </c>
      <c r="H17" s="4" t="n">
        <v>113.984366</v>
      </c>
      <c r="I17" s="2" t="n">
        <v>23.42</v>
      </c>
      <c r="J17" s="2" t="n">
        <v>2</v>
      </c>
      <c r="K17" s="4" t="n">
        <v>22.298638</v>
      </c>
      <c r="L17" s="4" t="n">
        <v>114.179294</v>
      </c>
      <c r="M17" s="2" t="s">
        <v>76</v>
      </c>
      <c r="N17" s="8" t="s">
        <v>77</v>
      </c>
      <c r="O17" s="2" t="s">
        <v>100</v>
      </c>
      <c r="P17" s="6"/>
      <c r="Q17" s="6"/>
      <c r="R17" s="7" t="n">
        <f aca="false">IF(AND(ISNUMBER(P17),ISNUMBER(Q17)),P17,K17)</f>
        <v>22.298638</v>
      </c>
      <c r="S17" s="7" t="n">
        <f aca="false">IF(AND(ISNUMBER(P17),ISNUMBER(Q17)),Q17,L17)</f>
        <v>114.179294</v>
      </c>
      <c r="T17" s="4" t="n">
        <v>22.30042</v>
      </c>
      <c r="U17" s="4" t="n">
        <v>114.178851</v>
      </c>
    </row>
    <row r="18" customFormat="false" ht="15" hidden="false" customHeight="false" outlineLevel="0" collapsed="false">
      <c r="A18" s="2" t="s">
        <v>101</v>
      </c>
      <c r="B18" s="2" t="s">
        <v>102</v>
      </c>
      <c r="C18" s="3" t="s">
        <v>103</v>
      </c>
      <c r="D18" s="2" t="s">
        <v>82</v>
      </c>
      <c r="E18" s="2" t="s">
        <v>49</v>
      </c>
      <c r="F18" s="2" t="s">
        <v>104</v>
      </c>
      <c r="G18" s="4" t="n">
        <v>22.312994</v>
      </c>
      <c r="H18" s="4" t="n">
        <v>114.172692</v>
      </c>
      <c r="I18" s="2" t="n">
        <v>23.02</v>
      </c>
      <c r="J18" s="2" t="n">
        <v>2</v>
      </c>
      <c r="K18" s="4" t="n">
        <v>22.448314</v>
      </c>
      <c r="L18" s="4" t="n">
        <v>114.003048</v>
      </c>
      <c r="M18" s="2" t="s">
        <v>76</v>
      </c>
      <c r="N18" s="8" t="s">
        <v>77</v>
      </c>
      <c r="O18" s="2" t="s">
        <v>105</v>
      </c>
      <c r="P18" s="6"/>
      <c r="Q18" s="6"/>
      <c r="R18" s="7" t="n">
        <f aca="false">IF(AND(ISNUMBER(P18),ISNUMBER(Q18)),P18,K18)</f>
        <v>22.448314</v>
      </c>
      <c r="S18" s="7" t="n">
        <f aca="false">IF(AND(ISNUMBER(P18),ISNUMBER(Q18)),Q18,L18)</f>
        <v>114.003048</v>
      </c>
      <c r="T18" s="4" t="n">
        <v>22.449966</v>
      </c>
      <c r="U18" s="4" t="n">
        <v>114.004461</v>
      </c>
    </row>
    <row r="19" customFormat="false" ht="15" hidden="false" customHeight="false" outlineLevel="0" collapsed="false">
      <c r="A19" s="2" t="s">
        <v>106</v>
      </c>
      <c r="B19" s="2" t="s">
        <v>107</v>
      </c>
      <c r="C19" s="3" t="s">
        <v>108</v>
      </c>
      <c r="D19" s="2" t="s">
        <v>109</v>
      </c>
      <c r="E19" s="2" t="s">
        <v>110</v>
      </c>
      <c r="F19" s="2" t="s">
        <v>111</v>
      </c>
      <c r="G19" s="4" t="n">
        <v>22.499146</v>
      </c>
      <c r="H19" s="4" t="n">
        <v>114.143188</v>
      </c>
      <c r="I19" s="2" t="n">
        <v>21.97</v>
      </c>
      <c r="J19" s="2" t="n">
        <v>2</v>
      </c>
      <c r="K19" s="4" t="n">
        <v>22.316797</v>
      </c>
      <c r="L19" s="4" t="n">
        <v>114.225664</v>
      </c>
      <c r="M19" s="2" t="s">
        <v>76</v>
      </c>
      <c r="N19" s="8" t="s">
        <v>77</v>
      </c>
      <c r="O19" s="2" t="s">
        <v>112</v>
      </c>
      <c r="P19" s="6"/>
      <c r="Q19" s="6"/>
      <c r="R19" s="7" t="n">
        <f aca="false">IF(AND(ISNUMBER(P19),ISNUMBER(Q19)),P19,K19)</f>
        <v>22.316797</v>
      </c>
      <c r="S19" s="7" t="n">
        <f aca="false">IF(AND(ISNUMBER(P19),ISNUMBER(Q19)),Q19,L19)</f>
        <v>114.225664</v>
      </c>
      <c r="T19" s="4" t="n">
        <v>22.316131</v>
      </c>
      <c r="U19" s="4" t="n">
        <v>114.224856</v>
      </c>
    </row>
    <row r="20" customFormat="false" ht="15" hidden="false" customHeight="false" outlineLevel="0" collapsed="false">
      <c r="A20" s="2" t="s">
        <v>113</v>
      </c>
      <c r="B20" s="2" t="s">
        <v>114</v>
      </c>
      <c r="C20" s="3" t="s">
        <v>115</v>
      </c>
      <c r="D20" s="2" t="s">
        <v>116</v>
      </c>
      <c r="E20" s="2" t="s">
        <v>25</v>
      </c>
      <c r="F20" s="2" t="s">
        <v>117</v>
      </c>
      <c r="G20" s="4" t="n">
        <v>22.444231</v>
      </c>
      <c r="H20" s="4" t="n">
        <v>114.030082</v>
      </c>
      <c r="I20" s="2" t="n">
        <v>21.79</v>
      </c>
      <c r="J20" s="2" t="n">
        <v>2</v>
      </c>
      <c r="K20" s="4" t="n">
        <v>22.312613</v>
      </c>
      <c r="L20" s="4" t="n">
        <v>114.189811</v>
      </c>
      <c r="M20" s="2" t="s">
        <v>76</v>
      </c>
      <c r="N20" s="8" t="s">
        <v>77</v>
      </c>
      <c r="O20" s="2" t="s">
        <v>118</v>
      </c>
      <c r="P20" s="6"/>
      <c r="Q20" s="6"/>
      <c r="R20" s="7" t="n">
        <f aca="false">IF(AND(ISNUMBER(P20),ISNUMBER(Q20)),P20,K20)</f>
        <v>22.312613</v>
      </c>
      <c r="S20" s="7" t="n">
        <f aca="false">IF(AND(ISNUMBER(P20),ISNUMBER(Q20)),Q20,L20)</f>
        <v>114.189811</v>
      </c>
      <c r="T20" s="4" t="n">
        <v>22.314425</v>
      </c>
      <c r="U20" s="4" t="n">
        <v>114.189451</v>
      </c>
    </row>
    <row r="21" customFormat="false" ht="15" hidden="false" customHeight="false" outlineLevel="0" collapsed="false">
      <c r="A21" s="2" t="s">
        <v>119</v>
      </c>
      <c r="B21" s="2" t="s">
        <v>120</v>
      </c>
      <c r="C21" s="3" t="s">
        <v>121</v>
      </c>
      <c r="D21" s="2" t="s">
        <v>122</v>
      </c>
      <c r="E21" s="2" t="s">
        <v>123</v>
      </c>
      <c r="F21" s="2" t="s">
        <v>124</v>
      </c>
      <c r="G21" s="4" t="n">
        <v>22.29029</v>
      </c>
      <c r="H21" s="4" t="n">
        <v>113.945428</v>
      </c>
      <c r="I21" s="2" t="n">
        <v>21.34</v>
      </c>
      <c r="J21" s="2" t="n">
        <v>2</v>
      </c>
      <c r="K21" s="4" t="n">
        <v>22.332803</v>
      </c>
      <c r="L21" s="4" t="n">
        <v>114.146314</v>
      </c>
      <c r="M21" s="2" t="s">
        <v>76</v>
      </c>
      <c r="N21" s="8" t="s">
        <v>77</v>
      </c>
      <c r="O21" s="2" t="s">
        <v>125</v>
      </c>
      <c r="P21" s="6"/>
      <c r="Q21" s="6"/>
      <c r="R21" s="7" t="n">
        <f aca="false">IF(AND(ISNUMBER(P21),ISNUMBER(Q21)),P21,K21)</f>
        <v>22.332803</v>
      </c>
      <c r="S21" s="7" t="n">
        <f aca="false">IF(AND(ISNUMBER(P21),ISNUMBER(Q21)),Q21,L21)</f>
        <v>114.146314</v>
      </c>
      <c r="T21" s="4" t="n">
        <v>22.334417</v>
      </c>
      <c r="U21" s="4" t="n">
        <v>114.147791</v>
      </c>
    </row>
    <row r="22" customFormat="false" ht="15" hidden="false" customHeight="false" outlineLevel="0" collapsed="false">
      <c r="A22" s="2" t="s">
        <v>126</v>
      </c>
      <c r="B22" s="2" t="s">
        <v>127</v>
      </c>
      <c r="C22" s="3" t="s">
        <v>128</v>
      </c>
      <c r="D22" s="2" t="s">
        <v>129</v>
      </c>
      <c r="E22" s="2" t="s">
        <v>123</v>
      </c>
      <c r="F22" s="2" t="s">
        <v>130</v>
      </c>
      <c r="G22" s="4" t="n">
        <v>22.445813</v>
      </c>
      <c r="H22" s="4" t="n">
        <v>114.024608</v>
      </c>
      <c r="I22" s="2" t="n">
        <v>19.59</v>
      </c>
      <c r="J22" s="2" t="n">
        <v>2</v>
      </c>
      <c r="K22" s="4" t="n">
        <v>22.327721</v>
      </c>
      <c r="L22" s="4" t="n">
        <v>114.16506</v>
      </c>
      <c r="M22" s="2" t="s">
        <v>76</v>
      </c>
      <c r="N22" s="8" t="s">
        <v>77</v>
      </c>
      <c r="O22" s="2" t="s">
        <v>131</v>
      </c>
      <c r="P22" s="6"/>
      <c r="Q22" s="6"/>
      <c r="R22" s="7" t="n">
        <f aca="false">IF(AND(ISNUMBER(P22),ISNUMBER(Q22)),P22,K22)</f>
        <v>22.327721</v>
      </c>
      <c r="S22" s="7" t="n">
        <f aca="false">IF(AND(ISNUMBER(P22),ISNUMBER(Q22)),Q22,L22)</f>
        <v>114.16506</v>
      </c>
      <c r="T22" s="4" t="n">
        <v>22.32857</v>
      </c>
      <c r="U22" s="4" t="n">
        <v>114.167288</v>
      </c>
    </row>
    <row r="23" customFormat="false" ht="15" hidden="false" customHeight="false" outlineLevel="0" collapsed="false">
      <c r="A23" s="2" t="s">
        <v>132</v>
      </c>
      <c r="B23" s="2" t="s">
        <v>133</v>
      </c>
      <c r="C23" s="3" t="s">
        <v>134</v>
      </c>
      <c r="D23" s="2" t="s">
        <v>135</v>
      </c>
      <c r="E23" s="2" t="s">
        <v>74</v>
      </c>
      <c r="F23" s="2" t="s">
        <v>136</v>
      </c>
      <c r="G23" s="4" t="n">
        <v>22.341714</v>
      </c>
      <c r="H23" s="4" t="n">
        <v>114.183178</v>
      </c>
      <c r="I23" s="2" t="n">
        <v>19.1</v>
      </c>
      <c r="J23" s="2" t="n">
        <v>4.19</v>
      </c>
      <c r="K23" s="4" t="n">
        <v>22.43051</v>
      </c>
      <c r="L23" s="4" t="n">
        <v>114.025255</v>
      </c>
      <c r="M23" s="2" t="s">
        <v>76</v>
      </c>
      <c r="N23" s="8" t="s">
        <v>77</v>
      </c>
      <c r="O23" s="2" t="s">
        <v>137</v>
      </c>
      <c r="P23" s="6"/>
      <c r="Q23" s="6"/>
      <c r="R23" s="7" t="n">
        <f aca="false">IF(AND(ISNUMBER(P23),ISNUMBER(Q23)),P23,K23)</f>
        <v>22.43051</v>
      </c>
      <c r="S23" s="7" t="n">
        <f aca="false">IF(AND(ISNUMBER(P23),ISNUMBER(Q23)),Q23,L23)</f>
        <v>114.025255</v>
      </c>
      <c r="T23" s="4" t="n">
        <v>22.430513</v>
      </c>
      <c r="U23" s="4" t="n">
        <v>114.023831</v>
      </c>
    </row>
    <row r="24" customFormat="false" ht="15" hidden="false" customHeight="false" outlineLevel="0" collapsed="false">
      <c r="A24" s="2" t="s">
        <v>138</v>
      </c>
      <c r="B24" s="2" t="s">
        <v>139</v>
      </c>
      <c r="C24" s="3" t="s">
        <v>140</v>
      </c>
      <c r="D24" s="2" t="s">
        <v>135</v>
      </c>
      <c r="E24" s="2" t="s">
        <v>74</v>
      </c>
      <c r="F24" s="2" t="s">
        <v>136</v>
      </c>
      <c r="G24" s="4" t="n">
        <v>22.341714</v>
      </c>
      <c r="H24" s="4" t="n">
        <v>114.183178</v>
      </c>
      <c r="I24" s="2" t="n">
        <v>19.1</v>
      </c>
      <c r="J24" s="2" t="n">
        <v>4.19</v>
      </c>
      <c r="K24" s="4" t="n">
        <v>22.428659</v>
      </c>
      <c r="L24" s="4" t="n">
        <v>114.023028</v>
      </c>
      <c r="M24" s="2" t="s">
        <v>76</v>
      </c>
      <c r="N24" s="8" t="s">
        <v>77</v>
      </c>
      <c r="O24" s="2" t="s">
        <v>137</v>
      </c>
      <c r="P24" s="6"/>
      <c r="Q24" s="6"/>
      <c r="R24" s="7" t="n">
        <f aca="false">IF(AND(ISNUMBER(P24),ISNUMBER(Q24)),P24,K24)</f>
        <v>22.428659</v>
      </c>
      <c r="S24" s="7" t="n">
        <f aca="false">IF(AND(ISNUMBER(P24),ISNUMBER(Q24)),Q24,L24)</f>
        <v>114.023028</v>
      </c>
      <c r="T24" s="4" t="n">
        <v>22.430513</v>
      </c>
      <c r="U24" s="4" t="n">
        <v>114.023831</v>
      </c>
    </row>
    <row r="25" customFormat="false" ht="15" hidden="false" customHeight="false" outlineLevel="0" collapsed="false">
      <c r="A25" s="2" t="s">
        <v>141</v>
      </c>
      <c r="B25" s="2" t="s">
        <v>142</v>
      </c>
      <c r="C25" s="3" t="s">
        <v>143</v>
      </c>
      <c r="D25" s="2" t="s">
        <v>135</v>
      </c>
      <c r="E25" s="2" t="s">
        <v>74</v>
      </c>
      <c r="F25" s="2" t="s">
        <v>136</v>
      </c>
      <c r="G25" s="4" t="n">
        <v>22.341714</v>
      </c>
      <c r="H25" s="4" t="n">
        <v>114.183178</v>
      </c>
      <c r="I25" s="2" t="n">
        <v>19.1</v>
      </c>
      <c r="J25" s="2" t="n">
        <v>4.19</v>
      </c>
      <c r="K25" s="4" t="n">
        <v>22.431185</v>
      </c>
      <c r="L25" s="4" t="n">
        <v>114.021316</v>
      </c>
      <c r="M25" s="2" t="s">
        <v>76</v>
      </c>
      <c r="N25" s="8" t="s">
        <v>77</v>
      </c>
      <c r="O25" s="2" t="s">
        <v>137</v>
      </c>
      <c r="P25" s="6"/>
      <c r="Q25" s="6"/>
      <c r="R25" s="7" t="n">
        <f aca="false">IF(AND(ISNUMBER(P25),ISNUMBER(Q25)),P25,K25)</f>
        <v>22.431185</v>
      </c>
      <c r="S25" s="7" t="n">
        <f aca="false">IF(AND(ISNUMBER(P25),ISNUMBER(Q25)),Q25,L25)</f>
        <v>114.021316</v>
      </c>
      <c r="T25" s="4" t="n">
        <v>22.430513</v>
      </c>
      <c r="U25" s="4" t="n">
        <v>114.023831</v>
      </c>
    </row>
    <row r="26" customFormat="false" ht="15" hidden="false" customHeight="false" outlineLevel="0" collapsed="false">
      <c r="A26" s="2" t="s">
        <v>144</v>
      </c>
      <c r="B26" s="2" t="s">
        <v>145</v>
      </c>
      <c r="C26" s="3" t="s">
        <v>146</v>
      </c>
      <c r="D26" s="2" t="s">
        <v>135</v>
      </c>
      <c r="E26" s="2" t="s">
        <v>74</v>
      </c>
      <c r="F26" s="2" t="s">
        <v>136</v>
      </c>
      <c r="G26" s="4" t="n">
        <v>22.341714</v>
      </c>
      <c r="H26" s="4" t="n">
        <v>114.183178</v>
      </c>
      <c r="I26" s="2" t="n">
        <v>19.1</v>
      </c>
      <c r="J26" s="2" t="n">
        <v>4.19</v>
      </c>
      <c r="K26" s="4" t="n">
        <v>22.429102</v>
      </c>
      <c r="L26" s="4" t="n">
        <v>114.024894</v>
      </c>
      <c r="M26" s="2" t="s">
        <v>76</v>
      </c>
      <c r="N26" s="8" t="s">
        <v>77</v>
      </c>
      <c r="O26" s="2" t="s">
        <v>137</v>
      </c>
      <c r="P26" s="6"/>
      <c r="Q26" s="6"/>
      <c r="R26" s="7" t="n">
        <f aca="false">IF(AND(ISNUMBER(P26),ISNUMBER(Q26)),P26,K26)</f>
        <v>22.429102</v>
      </c>
      <c r="S26" s="7" t="n">
        <f aca="false">IF(AND(ISNUMBER(P26),ISNUMBER(Q26)),Q26,L26)</f>
        <v>114.024894</v>
      </c>
      <c r="T26" s="4" t="n">
        <v>22.430513</v>
      </c>
      <c r="U26" s="4" t="n">
        <v>114.023831</v>
      </c>
    </row>
    <row r="27" customFormat="false" ht="15" hidden="false" customHeight="false" outlineLevel="0" collapsed="false">
      <c r="A27" s="2" t="s">
        <v>147</v>
      </c>
      <c r="B27" s="2" t="s">
        <v>148</v>
      </c>
      <c r="C27" s="3" t="s">
        <v>149</v>
      </c>
      <c r="D27" s="2" t="s">
        <v>135</v>
      </c>
      <c r="E27" s="2" t="s">
        <v>74</v>
      </c>
      <c r="F27" s="2" t="s">
        <v>136</v>
      </c>
      <c r="G27" s="4" t="n">
        <v>22.341714</v>
      </c>
      <c r="H27" s="4" t="n">
        <v>114.183178</v>
      </c>
      <c r="I27" s="2" t="n">
        <v>19.1</v>
      </c>
      <c r="J27" s="2" t="n">
        <v>4.19</v>
      </c>
      <c r="K27" s="4" t="n">
        <v>22.431066</v>
      </c>
      <c r="L27" s="4" t="n">
        <v>114.024834</v>
      </c>
      <c r="M27" s="2" t="s">
        <v>76</v>
      </c>
      <c r="N27" s="8" t="s">
        <v>77</v>
      </c>
      <c r="O27" s="2" t="s">
        <v>137</v>
      </c>
      <c r="P27" s="6"/>
      <c r="Q27" s="6"/>
      <c r="R27" s="7" t="n">
        <f aca="false">IF(AND(ISNUMBER(P27),ISNUMBER(Q27)),P27,K27)</f>
        <v>22.431066</v>
      </c>
      <c r="S27" s="7" t="n">
        <f aca="false">IF(AND(ISNUMBER(P27),ISNUMBER(Q27)),Q27,L27)</f>
        <v>114.024834</v>
      </c>
      <c r="T27" s="4" t="n">
        <v>22.430513</v>
      </c>
      <c r="U27" s="4" t="n">
        <v>114.023831</v>
      </c>
    </row>
    <row r="28" customFormat="false" ht="15" hidden="false" customHeight="false" outlineLevel="0" collapsed="false">
      <c r="A28" s="2" t="s">
        <v>150</v>
      </c>
      <c r="B28" s="2" t="s">
        <v>151</v>
      </c>
      <c r="C28" s="3" t="s">
        <v>152</v>
      </c>
      <c r="D28" s="2" t="s">
        <v>135</v>
      </c>
      <c r="E28" s="2" t="s">
        <v>74</v>
      </c>
      <c r="F28" s="2" t="s">
        <v>136</v>
      </c>
      <c r="G28" s="4" t="n">
        <v>22.341714</v>
      </c>
      <c r="H28" s="4" t="n">
        <v>114.183178</v>
      </c>
      <c r="I28" s="2" t="n">
        <v>19.1</v>
      </c>
      <c r="J28" s="2" t="n">
        <v>4.19</v>
      </c>
      <c r="K28" s="4" t="n">
        <v>22.430813</v>
      </c>
      <c r="L28" s="4" t="n">
        <v>114.021312</v>
      </c>
      <c r="M28" s="2" t="s">
        <v>76</v>
      </c>
      <c r="N28" s="8" t="s">
        <v>77</v>
      </c>
      <c r="O28" s="2" t="s">
        <v>137</v>
      </c>
      <c r="P28" s="6"/>
      <c r="Q28" s="6"/>
      <c r="R28" s="7" t="n">
        <f aca="false">IF(AND(ISNUMBER(P28),ISNUMBER(Q28)),P28,K28)</f>
        <v>22.430813</v>
      </c>
      <c r="S28" s="7" t="n">
        <f aca="false">IF(AND(ISNUMBER(P28),ISNUMBER(Q28)),Q28,L28)</f>
        <v>114.021312</v>
      </c>
      <c r="T28" s="4" t="n">
        <v>22.430513</v>
      </c>
      <c r="U28" s="4" t="n">
        <v>114.023831</v>
      </c>
    </row>
    <row r="29" customFormat="false" ht="15" hidden="false" customHeight="false" outlineLevel="0" collapsed="false">
      <c r="A29" s="2" t="s">
        <v>153</v>
      </c>
      <c r="B29" s="2" t="s">
        <v>154</v>
      </c>
      <c r="C29" s="3" t="s">
        <v>155</v>
      </c>
      <c r="D29" s="2" t="s">
        <v>135</v>
      </c>
      <c r="E29" s="2" t="s">
        <v>74</v>
      </c>
      <c r="F29" s="2" t="s">
        <v>136</v>
      </c>
      <c r="G29" s="4" t="n">
        <v>22.341714</v>
      </c>
      <c r="H29" s="4" t="n">
        <v>114.183178</v>
      </c>
      <c r="I29" s="2" t="n">
        <v>19.1</v>
      </c>
      <c r="J29" s="2" t="n">
        <v>4.19</v>
      </c>
      <c r="K29" s="4" t="n">
        <v>22.430769</v>
      </c>
      <c r="L29" s="4" t="n">
        <v>114.023826</v>
      </c>
      <c r="M29" s="2" t="s">
        <v>76</v>
      </c>
      <c r="N29" s="8" t="s">
        <v>77</v>
      </c>
      <c r="O29" s="2" t="s">
        <v>137</v>
      </c>
      <c r="P29" s="6"/>
      <c r="Q29" s="6"/>
      <c r="R29" s="7" t="n">
        <f aca="false">IF(AND(ISNUMBER(P29),ISNUMBER(Q29)),P29,K29)</f>
        <v>22.430769</v>
      </c>
      <c r="S29" s="7" t="n">
        <f aca="false">IF(AND(ISNUMBER(P29),ISNUMBER(Q29)),Q29,L29)</f>
        <v>114.023826</v>
      </c>
      <c r="T29" s="4" t="n">
        <v>22.430513</v>
      </c>
      <c r="U29" s="4" t="n">
        <v>114.023831</v>
      </c>
    </row>
    <row r="30" customFormat="false" ht="15" hidden="false" customHeight="false" outlineLevel="0" collapsed="false">
      <c r="A30" s="2" t="s">
        <v>156</v>
      </c>
      <c r="B30" s="2" t="s">
        <v>157</v>
      </c>
      <c r="C30" s="3" t="s">
        <v>158</v>
      </c>
      <c r="D30" s="2" t="s">
        <v>135</v>
      </c>
      <c r="E30" s="2" t="s">
        <v>74</v>
      </c>
      <c r="F30" s="2" t="s">
        <v>136</v>
      </c>
      <c r="G30" s="4" t="n">
        <v>22.341714</v>
      </c>
      <c r="H30" s="4" t="n">
        <v>114.183178</v>
      </c>
      <c r="I30" s="2" t="n">
        <v>19.1</v>
      </c>
      <c r="J30" s="2" t="n">
        <v>4.19</v>
      </c>
      <c r="K30" s="4" t="n">
        <v>22.428661</v>
      </c>
      <c r="L30" s="4" t="n">
        <v>114.024113</v>
      </c>
      <c r="M30" s="2" t="s">
        <v>76</v>
      </c>
      <c r="N30" s="8" t="s">
        <v>77</v>
      </c>
      <c r="O30" s="2" t="s">
        <v>137</v>
      </c>
      <c r="P30" s="6"/>
      <c r="Q30" s="6"/>
      <c r="R30" s="7" t="n">
        <f aca="false">IF(AND(ISNUMBER(P30),ISNUMBER(Q30)),P30,K30)</f>
        <v>22.428661</v>
      </c>
      <c r="S30" s="7" t="n">
        <f aca="false">IF(AND(ISNUMBER(P30),ISNUMBER(Q30)),Q30,L30)</f>
        <v>114.024113</v>
      </c>
      <c r="T30" s="4" t="n">
        <v>22.430513</v>
      </c>
      <c r="U30" s="4" t="n">
        <v>114.023831</v>
      </c>
    </row>
    <row r="31" customFormat="false" ht="15" hidden="false" customHeight="false" outlineLevel="0" collapsed="false">
      <c r="A31" s="2" t="s">
        <v>159</v>
      </c>
      <c r="B31" s="2" t="s">
        <v>160</v>
      </c>
      <c r="C31" s="3" t="s">
        <v>161</v>
      </c>
      <c r="D31" s="2" t="s">
        <v>135</v>
      </c>
      <c r="E31" s="2" t="s">
        <v>74</v>
      </c>
      <c r="F31" s="2" t="s">
        <v>136</v>
      </c>
      <c r="G31" s="4" t="n">
        <v>22.341714</v>
      </c>
      <c r="H31" s="4" t="n">
        <v>114.183178</v>
      </c>
      <c r="I31" s="2" t="n">
        <v>19.1</v>
      </c>
      <c r="J31" s="2" t="n">
        <v>4.19</v>
      </c>
      <c r="K31" s="4" t="n">
        <v>22.431007</v>
      </c>
      <c r="L31" s="4" t="n">
        <v>114.024922</v>
      </c>
      <c r="M31" s="2" t="s">
        <v>76</v>
      </c>
      <c r="N31" s="8" t="s">
        <v>77</v>
      </c>
      <c r="O31" s="2" t="s">
        <v>137</v>
      </c>
      <c r="P31" s="6"/>
      <c r="Q31" s="6"/>
      <c r="R31" s="7" t="n">
        <f aca="false">IF(AND(ISNUMBER(P31),ISNUMBER(Q31)),P31,K31)</f>
        <v>22.431007</v>
      </c>
      <c r="S31" s="7" t="n">
        <f aca="false">IF(AND(ISNUMBER(P31),ISNUMBER(Q31)),Q31,L31)</f>
        <v>114.024922</v>
      </c>
      <c r="T31" s="4" t="n">
        <v>22.430513</v>
      </c>
      <c r="U31" s="4" t="n">
        <v>114.023831</v>
      </c>
    </row>
    <row r="32" customFormat="false" ht="15" hidden="false" customHeight="false" outlineLevel="0" collapsed="false">
      <c r="A32" s="2" t="s">
        <v>162</v>
      </c>
      <c r="B32" s="2" t="s">
        <v>163</v>
      </c>
      <c r="C32" s="3" t="s">
        <v>164</v>
      </c>
      <c r="D32" s="2" t="s">
        <v>135</v>
      </c>
      <c r="E32" s="2" t="s">
        <v>74</v>
      </c>
      <c r="F32" s="2" t="s">
        <v>136</v>
      </c>
      <c r="G32" s="4" t="n">
        <v>22.341714</v>
      </c>
      <c r="H32" s="4" t="n">
        <v>114.183178</v>
      </c>
      <c r="I32" s="2" t="n">
        <v>19.1</v>
      </c>
      <c r="J32" s="2" t="n">
        <v>4.19</v>
      </c>
      <c r="K32" s="4" t="n">
        <v>22.431008</v>
      </c>
      <c r="L32" s="4" t="n">
        <v>114.021326</v>
      </c>
      <c r="M32" s="2" t="s">
        <v>76</v>
      </c>
      <c r="N32" s="8" t="s">
        <v>77</v>
      </c>
      <c r="O32" s="2" t="s">
        <v>137</v>
      </c>
      <c r="P32" s="6"/>
      <c r="Q32" s="6"/>
      <c r="R32" s="7" t="n">
        <f aca="false">IF(AND(ISNUMBER(P32),ISNUMBER(Q32)),P32,K32)</f>
        <v>22.431008</v>
      </c>
      <c r="S32" s="7" t="n">
        <f aca="false">IF(AND(ISNUMBER(P32),ISNUMBER(Q32)),Q32,L32)</f>
        <v>114.021326</v>
      </c>
      <c r="T32" s="4" t="n">
        <v>22.430513</v>
      </c>
      <c r="U32" s="4" t="n">
        <v>114.023831</v>
      </c>
    </row>
    <row r="33" customFormat="false" ht="15" hidden="false" customHeight="false" outlineLevel="0" collapsed="false">
      <c r="A33" s="2" t="s">
        <v>165</v>
      </c>
      <c r="B33" s="2" t="s">
        <v>166</v>
      </c>
      <c r="C33" s="3" t="s">
        <v>167</v>
      </c>
      <c r="D33" s="2" t="s">
        <v>135</v>
      </c>
      <c r="E33" s="2" t="s">
        <v>74</v>
      </c>
      <c r="F33" s="2" t="s">
        <v>136</v>
      </c>
      <c r="G33" s="4" t="n">
        <v>22.341714</v>
      </c>
      <c r="H33" s="4" t="n">
        <v>114.183178</v>
      </c>
      <c r="I33" s="2" t="n">
        <v>19.1</v>
      </c>
      <c r="J33" s="2" t="n">
        <v>4.19</v>
      </c>
      <c r="K33" s="4" t="n">
        <v>22.430689</v>
      </c>
      <c r="L33" s="4" t="n">
        <v>114.021287</v>
      </c>
      <c r="M33" s="2" t="s">
        <v>76</v>
      </c>
      <c r="N33" s="8" t="s">
        <v>77</v>
      </c>
      <c r="O33" s="2" t="s">
        <v>137</v>
      </c>
      <c r="P33" s="6"/>
      <c r="Q33" s="6"/>
      <c r="R33" s="7" t="n">
        <f aca="false">IF(AND(ISNUMBER(P33),ISNUMBER(Q33)),P33,K33)</f>
        <v>22.430689</v>
      </c>
      <c r="S33" s="7" t="n">
        <f aca="false">IF(AND(ISNUMBER(P33),ISNUMBER(Q33)),Q33,L33)</f>
        <v>114.021287</v>
      </c>
      <c r="T33" s="4" t="n">
        <v>22.430513</v>
      </c>
      <c r="U33" s="4" t="n">
        <v>114.023831</v>
      </c>
    </row>
    <row r="34" customFormat="false" ht="15" hidden="false" customHeight="false" outlineLevel="0" collapsed="false">
      <c r="A34" s="2" t="s">
        <v>168</v>
      </c>
      <c r="B34" s="2" t="s">
        <v>169</v>
      </c>
      <c r="C34" s="3" t="s">
        <v>170</v>
      </c>
      <c r="D34" s="2" t="s">
        <v>135</v>
      </c>
      <c r="E34" s="2" t="s">
        <v>74</v>
      </c>
      <c r="F34" s="2" t="s">
        <v>136</v>
      </c>
      <c r="G34" s="4" t="n">
        <v>22.341714</v>
      </c>
      <c r="H34" s="4" t="n">
        <v>114.183178</v>
      </c>
      <c r="I34" s="2" t="n">
        <v>19.1</v>
      </c>
      <c r="J34" s="2" t="n">
        <v>4.19</v>
      </c>
      <c r="K34" s="4" t="n">
        <v>22.430157</v>
      </c>
      <c r="L34" s="4" t="n">
        <v>114.025382</v>
      </c>
      <c r="M34" s="2" t="s">
        <v>76</v>
      </c>
      <c r="N34" s="8" t="s">
        <v>77</v>
      </c>
      <c r="O34" s="2" t="s">
        <v>137</v>
      </c>
      <c r="P34" s="6"/>
      <c r="Q34" s="6"/>
      <c r="R34" s="7" t="n">
        <f aca="false">IF(AND(ISNUMBER(P34),ISNUMBER(Q34)),P34,K34)</f>
        <v>22.430157</v>
      </c>
      <c r="S34" s="7" t="n">
        <f aca="false">IF(AND(ISNUMBER(P34),ISNUMBER(Q34)),Q34,L34)</f>
        <v>114.025382</v>
      </c>
      <c r="T34" s="4" t="n">
        <v>22.430513</v>
      </c>
      <c r="U34" s="4" t="n">
        <v>114.023831</v>
      </c>
    </row>
    <row r="35" customFormat="false" ht="15" hidden="false" customHeight="false" outlineLevel="0" collapsed="false">
      <c r="A35" s="2" t="s">
        <v>171</v>
      </c>
      <c r="B35" s="2" t="s">
        <v>172</v>
      </c>
      <c r="C35" s="3" t="s">
        <v>173</v>
      </c>
      <c r="D35" s="2" t="s">
        <v>174</v>
      </c>
      <c r="E35" s="2" t="s">
        <v>74</v>
      </c>
      <c r="F35" s="2" t="s">
        <v>175</v>
      </c>
      <c r="G35" s="4" t="n">
        <v>22.361787</v>
      </c>
      <c r="H35" s="4" t="n">
        <v>114.040108</v>
      </c>
      <c r="I35" s="2" t="n">
        <v>18.73</v>
      </c>
      <c r="J35" s="2" t="n">
        <v>2</v>
      </c>
      <c r="K35" s="4" t="n">
        <v>22.499189</v>
      </c>
      <c r="L35" s="4" t="n">
        <v>114.146013</v>
      </c>
      <c r="M35" s="2" t="s">
        <v>76</v>
      </c>
      <c r="N35" s="8" t="s">
        <v>77</v>
      </c>
      <c r="O35" s="2" t="s">
        <v>176</v>
      </c>
      <c r="P35" s="6"/>
      <c r="Q35" s="6"/>
      <c r="R35" s="7" t="n">
        <f aca="false">IF(AND(ISNUMBER(P35),ISNUMBER(Q35)),P35,K35)</f>
        <v>22.499189</v>
      </c>
      <c r="S35" s="7" t="n">
        <f aca="false">IF(AND(ISNUMBER(P35),ISNUMBER(Q35)),Q35,L35)</f>
        <v>114.146013</v>
      </c>
      <c r="T35" s="4" t="n">
        <v>22.500108</v>
      </c>
      <c r="U35" s="4" t="n">
        <v>114.144599</v>
      </c>
    </row>
    <row r="36" customFormat="false" ht="15" hidden="false" customHeight="false" outlineLevel="0" collapsed="false">
      <c r="A36" s="2" t="s">
        <v>177</v>
      </c>
      <c r="B36" s="2" t="s">
        <v>178</v>
      </c>
      <c r="C36" s="3" t="s">
        <v>179</v>
      </c>
      <c r="D36" s="2" t="s">
        <v>135</v>
      </c>
      <c r="E36" s="2" t="s">
        <v>74</v>
      </c>
      <c r="F36" s="2" t="s">
        <v>136</v>
      </c>
      <c r="G36" s="4" t="n">
        <v>22.407618</v>
      </c>
      <c r="H36" s="4" t="n">
        <v>114.200688</v>
      </c>
      <c r="I36" s="2" t="n">
        <v>18.33</v>
      </c>
      <c r="J36" s="2" t="n">
        <v>4.19</v>
      </c>
      <c r="K36" s="4" t="n">
        <v>22.428627</v>
      </c>
      <c r="L36" s="4" t="n">
        <v>114.023902</v>
      </c>
      <c r="M36" s="2" t="s">
        <v>76</v>
      </c>
      <c r="N36" s="8" t="s">
        <v>77</v>
      </c>
      <c r="O36" s="2" t="s">
        <v>137</v>
      </c>
      <c r="P36" s="6"/>
      <c r="Q36" s="6"/>
      <c r="R36" s="7" t="n">
        <f aca="false">IF(AND(ISNUMBER(P36),ISNUMBER(Q36)),P36,K36)</f>
        <v>22.428627</v>
      </c>
      <c r="S36" s="7" t="n">
        <f aca="false">IF(AND(ISNUMBER(P36),ISNUMBER(Q36)),Q36,L36)</f>
        <v>114.023902</v>
      </c>
      <c r="T36" s="4" t="n">
        <v>22.430513</v>
      </c>
      <c r="U36" s="4" t="n">
        <v>114.023831</v>
      </c>
    </row>
    <row r="37" customFormat="false" ht="15" hidden="false" customHeight="false" outlineLevel="0" collapsed="false">
      <c r="A37" s="2" t="s">
        <v>180</v>
      </c>
      <c r="B37" s="2" t="s">
        <v>181</v>
      </c>
      <c r="C37" s="3" t="s">
        <v>182</v>
      </c>
      <c r="D37" s="2" t="s">
        <v>135</v>
      </c>
      <c r="E37" s="2" t="s">
        <v>74</v>
      </c>
      <c r="F37" s="2" t="s">
        <v>136</v>
      </c>
      <c r="G37" s="4" t="n">
        <v>22.407618</v>
      </c>
      <c r="H37" s="4" t="n">
        <v>114.200688</v>
      </c>
      <c r="I37" s="2" t="n">
        <v>18.33</v>
      </c>
      <c r="J37" s="2" t="n">
        <v>4.19</v>
      </c>
      <c r="K37" s="4" t="n">
        <v>22.43274</v>
      </c>
      <c r="L37" s="4" t="n">
        <v>114.022393</v>
      </c>
      <c r="M37" s="2" t="s">
        <v>76</v>
      </c>
      <c r="N37" s="8" t="s">
        <v>77</v>
      </c>
      <c r="O37" s="2" t="s">
        <v>137</v>
      </c>
      <c r="P37" s="6"/>
      <c r="Q37" s="6"/>
      <c r="R37" s="7" t="n">
        <f aca="false">IF(AND(ISNUMBER(P37),ISNUMBER(Q37)),P37,K37)</f>
        <v>22.43274</v>
      </c>
      <c r="S37" s="7" t="n">
        <f aca="false">IF(AND(ISNUMBER(P37),ISNUMBER(Q37)),Q37,L37)</f>
        <v>114.022393</v>
      </c>
      <c r="T37" s="4" t="n">
        <v>22.430513</v>
      </c>
      <c r="U37" s="4" t="n">
        <v>114.023831</v>
      </c>
    </row>
    <row r="38" customFormat="false" ht="15" hidden="false" customHeight="false" outlineLevel="0" collapsed="false">
      <c r="A38" s="2" t="s">
        <v>183</v>
      </c>
      <c r="B38" s="2" t="s">
        <v>184</v>
      </c>
      <c r="C38" s="3" t="s">
        <v>185</v>
      </c>
      <c r="D38" s="2" t="s">
        <v>135</v>
      </c>
      <c r="E38" s="2" t="s">
        <v>74</v>
      </c>
      <c r="F38" s="2" t="s">
        <v>136</v>
      </c>
      <c r="G38" s="4" t="n">
        <v>22.407618</v>
      </c>
      <c r="H38" s="4" t="n">
        <v>114.200688</v>
      </c>
      <c r="I38" s="2" t="n">
        <v>18.33</v>
      </c>
      <c r="J38" s="2" t="n">
        <v>4.19</v>
      </c>
      <c r="K38" s="4" t="n">
        <v>22.430652</v>
      </c>
      <c r="L38" s="4" t="n">
        <v>114.023845</v>
      </c>
      <c r="M38" s="2" t="s">
        <v>76</v>
      </c>
      <c r="N38" s="8" t="s">
        <v>77</v>
      </c>
      <c r="O38" s="2" t="s">
        <v>137</v>
      </c>
      <c r="P38" s="6"/>
      <c r="Q38" s="6"/>
      <c r="R38" s="7" t="n">
        <f aca="false">IF(AND(ISNUMBER(P38),ISNUMBER(Q38)),P38,K38)</f>
        <v>22.430652</v>
      </c>
      <c r="S38" s="7" t="n">
        <f aca="false">IF(AND(ISNUMBER(P38),ISNUMBER(Q38)),Q38,L38)</f>
        <v>114.023845</v>
      </c>
      <c r="T38" s="4" t="n">
        <v>22.430513</v>
      </c>
      <c r="U38" s="4" t="n">
        <v>114.023831</v>
      </c>
    </row>
    <row r="39" customFormat="false" ht="15" hidden="false" customHeight="false" outlineLevel="0" collapsed="false">
      <c r="A39" s="2" t="s">
        <v>186</v>
      </c>
      <c r="B39" s="2" t="s">
        <v>187</v>
      </c>
      <c r="C39" s="3" t="s">
        <v>188</v>
      </c>
      <c r="D39" s="2" t="s">
        <v>135</v>
      </c>
      <c r="E39" s="2" t="s">
        <v>74</v>
      </c>
      <c r="F39" s="2" t="s">
        <v>136</v>
      </c>
      <c r="G39" s="4" t="n">
        <v>22.407618</v>
      </c>
      <c r="H39" s="4" t="n">
        <v>114.200688</v>
      </c>
      <c r="I39" s="2" t="n">
        <v>18.33</v>
      </c>
      <c r="J39" s="2" t="n">
        <v>4.19</v>
      </c>
      <c r="K39" s="4" t="n">
        <v>22.429075</v>
      </c>
      <c r="L39" s="4" t="n">
        <v>114.02484</v>
      </c>
      <c r="M39" s="2" t="s">
        <v>76</v>
      </c>
      <c r="N39" s="8" t="s">
        <v>77</v>
      </c>
      <c r="O39" s="2" t="s">
        <v>137</v>
      </c>
      <c r="P39" s="6"/>
      <c r="Q39" s="6"/>
      <c r="R39" s="7" t="n">
        <f aca="false">IF(AND(ISNUMBER(P39),ISNUMBER(Q39)),P39,K39)</f>
        <v>22.429075</v>
      </c>
      <c r="S39" s="7" t="n">
        <f aca="false">IF(AND(ISNUMBER(P39),ISNUMBER(Q39)),Q39,L39)</f>
        <v>114.02484</v>
      </c>
      <c r="T39" s="4" t="n">
        <v>22.430513</v>
      </c>
      <c r="U39" s="4" t="n">
        <v>114.023831</v>
      </c>
    </row>
    <row r="40" customFormat="false" ht="15" hidden="false" customHeight="false" outlineLevel="0" collapsed="false">
      <c r="A40" s="2" t="s">
        <v>189</v>
      </c>
      <c r="B40" s="2" t="s">
        <v>190</v>
      </c>
      <c r="C40" s="3" t="s">
        <v>191</v>
      </c>
      <c r="D40" s="2" t="s">
        <v>135</v>
      </c>
      <c r="E40" s="2" t="s">
        <v>74</v>
      </c>
      <c r="F40" s="2" t="s">
        <v>136</v>
      </c>
      <c r="G40" s="4" t="n">
        <v>22.407618</v>
      </c>
      <c r="H40" s="4" t="n">
        <v>114.200688</v>
      </c>
      <c r="I40" s="2" t="n">
        <v>18.33</v>
      </c>
      <c r="J40" s="2" t="n">
        <v>4.19</v>
      </c>
      <c r="K40" s="4" t="n">
        <v>22.432257</v>
      </c>
      <c r="L40" s="4" t="n">
        <v>114.021846</v>
      </c>
      <c r="M40" s="2" t="s">
        <v>76</v>
      </c>
      <c r="N40" s="8" t="s">
        <v>77</v>
      </c>
      <c r="O40" s="2" t="s">
        <v>137</v>
      </c>
      <c r="P40" s="6"/>
      <c r="Q40" s="6"/>
      <c r="R40" s="7" t="n">
        <f aca="false">IF(AND(ISNUMBER(P40),ISNUMBER(Q40)),P40,K40)</f>
        <v>22.432257</v>
      </c>
      <c r="S40" s="7" t="n">
        <f aca="false">IF(AND(ISNUMBER(P40),ISNUMBER(Q40)),Q40,L40)</f>
        <v>114.021846</v>
      </c>
      <c r="T40" s="4" t="n">
        <v>22.430513</v>
      </c>
      <c r="U40" s="4" t="n">
        <v>114.023831</v>
      </c>
    </row>
    <row r="41" customFormat="false" ht="15" hidden="false" customHeight="false" outlineLevel="0" collapsed="false">
      <c r="A41" s="2" t="s">
        <v>192</v>
      </c>
      <c r="B41" s="2" t="s">
        <v>193</v>
      </c>
      <c r="C41" s="3" t="s">
        <v>194</v>
      </c>
      <c r="D41" s="2" t="s">
        <v>195</v>
      </c>
      <c r="E41" s="2" t="s">
        <v>196</v>
      </c>
      <c r="F41" s="2" t="s">
        <v>197</v>
      </c>
      <c r="G41" s="4" t="n">
        <v>22.44268</v>
      </c>
      <c r="H41" s="4" t="n">
        <v>114.026402</v>
      </c>
      <c r="I41" s="2" t="n">
        <v>17.29</v>
      </c>
      <c r="J41" s="2" t="n">
        <v>2</v>
      </c>
      <c r="K41" s="4" t="n">
        <v>22.375995</v>
      </c>
      <c r="L41" s="4" t="n">
        <v>114.17609</v>
      </c>
      <c r="M41" s="2" t="s">
        <v>76</v>
      </c>
      <c r="N41" s="8" t="s">
        <v>77</v>
      </c>
      <c r="O41" s="2" t="s">
        <v>198</v>
      </c>
      <c r="P41" s="6"/>
      <c r="Q41" s="6"/>
      <c r="R41" s="7" t="n">
        <f aca="false">IF(AND(ISNUMBER(P41),ISNUMBER(Q41)),P41,K41)</f>
        <v>22.375995</v>
      </c>
      <c r="S41" s="7" t="n">
        <f aca="false">IF(AND(ISNUMBER(P41),ISNUMBER(Q41)),Q41,L41)</f>
        <v>114.17609</v>
      </c>
      <c r="T41" s="4" t="n">
        <v>22.375941</v>
      </c>
      <c r="U41" s="4" t="n">
        <v>114.178626</v>
      </c>
    </row>
    <row r="42" customFormat="false" ht="15" hidden="false" customHeight="false" outlineLevel="0" collapsed="false">
      <c r="A42" s="2" t="s">
        <v>199</v>
      </c>
      <c r="B42" s="2" t="s">
        <v>200</v>
      </c>
      <c r="C42" s="3" t="s">
        <v>201</v>
      </c>
      <c r="D42" s="2" t="s">
        <v>174</v>
      </c>
      <c r="E42" s="2" t="s">
        <v>74</v>
      </c>
      <c r="F42" s="2" t="s">
        <v>202</v>
      </c>
      <c r="G42" s="4" t="n">
        <v>22.372269</v>
      </c>
      <c r="H42" s="4" t="n">
        <v>114.11688</v>
      </c>
      <c r="I42" s="2" t="n">
        <v>14.28</v>
      </c>
      <c r="J42" s="2" t="n">
        <v>2</v>
      </c>
      <c r="K42" s="4" t="n">
        <v>22.49957</v>
      </c>
      <c r="L42" s="4" t="n">
        <v>114.141086</v>
      </c>
      <c r="M42" s="2" t="s">
        <v>76</v>
      </c>
      <c r="N42" s="8" t="s">
        <v>77</v>
      </c>
      <c r="O42" s="2" t="s">
        <v>203</v>
      </c>
      <c r="P42" s="6"/>
      <c r="Q42" s="6"/>
      <c r="R42" s="7" t="n">
        <f aca="false">IF(AND(ISNUMBER(P42),ISNUMBER(Q42)),P42,K42)</f>
        <v>22.49957</v>
      </c>
      <c r="S42" s="7" t="n">
        <f aca="false">IF(AND(ISNUMBER(P42),ISNUMBER(Q42)),Q42,L42)</f>
        <v>114.141086</v>
      </c>
      <c r="T42" s="4" t="n">
        <v>22.499007</v>
      </c>
      <c r="U42" s="4" t="n">
        <v>114.140831</v>
      </c>
    </row>
    <row r="43" customFormat="false" ht="15" hidden="false" customHeight="false" outlineLevel="0" collapsed="false">
      <c r="A43" s="2" t="s">
        <v>204</v>
      </c>
      <c r="B43" s="2" t="s">
        <v>205</v>
      </c>
      <c r="C43" s="3" t="s">
        <v>206</v>
      </c>
      <c r="D43" s="2" t="s">
        <v>207</v>
      </c>
      <c r="E43" s="2" t="s">
        <v>74</v>
      </c>
      <c r="F43" s="2" t="s">
        <v>208</v>
      </c>
      <c r="G43" s="4" t="n">
        <v>22.435897</v>
      </c>
      <c r="H43" s="4" t="n">
        <v>114.185844</v>
      </c>
      <c r="I43" s="2" t="n">
        <v>14.19</v>
      </c>
      <c r="J43" s="2" t="n">
        <v>2</v>
      </c>
      <c r="K43" s="4" t="n">
        <v>22.445561</v>
      </c>
      <c r="L43" s="4" t="n">
        <v>114.047206</v>
      </c>
      <c r="M43" s="2" t="s">
        <v>76</v>
      </c>
      <c r="N43" s="8" t="s">
        <v>77</v>
      </c>
      <c r="O43" s="2" t="s">
        <v>209</v>
      </c>
      <c r="P43" s="6"/>
      <c r="Q43" s="6"/>
      <c r="R43" s="7" t="n">
        <f aca="false">IF(AND(ISNUMBER(P43),ISNUMBER(Q43)),P43,K43)</f>
        <v>22.445561</v>
      </c>
      <c r="S43" s="7" t="n">
        <f aca="false">IF(AND(ISNUMBER(P43),ISNUMBER(Q43)),Q43,L43)</f>
        <v>114.047206</v>
      </c>
      <c r="T43" s="4" t="n">
        <v>22.447436</v>
      </c>
      <c r="U43" s="4" t="n">
        <v>114.048097</v>
      </c>
    </row>
    <row r="44" customFormat="false" ht="15" hidden="false" customHeight="false" outlineLevel="0" collapsed="false">
      <c r="A44" s="2" t="s">
        <v>210</v>
      </c>
      <c r="B44" s="2" t="s">
        <v>211</v>
      </c>
      <c r="C44" s="3" t="s">
        <v>212</v>
      </c>
      <c r="D44" s="2" t="s">
        <v>213</v>
      </c>
      <c r="E44" s="2" t="s">
        <v>74</v>
      </c>
      <c r="F44" s="2" t="s">
        <v>214</v>
      </c>
      <c r="G44" s="4" t="n">
        <v>22.336386</v>
      </c>
      <c r="H44" s="4" t="n">
        <v>114.146572</v>
      </c>
      <c r="I44" s="2" t="n">
        <v>14.11</v>
      </c>
      <c r="J44" s="2" t="n">
        <v>3.21</v>
      </c>
      <c r="K44" s="4" t="n">
        <v>22.461074</v>
      </c>
      <c r="L44" s="4" t="n">
        <v>114.184594</v>
      </c>
      <c r="M44" s="2" t="s">
        <v>76</v>
      </c>
      <c r="N44" s="8" t="s">
        <v>77</v>
      </c>
      <c r="O44" s="2" t="s">
        <v>215</v>
      </c>
      <c r="P44" s="6"/>
      <c r="Q44" s="6"/>
      <c r="R44" s="7" t="n">
        <f aca="false">IF(AND(ISNUMBER(P44),ISNUMBER(Q44)),P44,K44)</f>
        <v>22.461074</v>
      </c>
      <c r="S44" s="7" t="n">
        <f aca="false">IF(AND(ISNUMBER(P44),ISNUMBER(Q44)),Q44,L44)</f>
        <v>114.184594</v>
      </c>
      <c r="T44" s="4" t="n">
        <v>22.458436</v>
      </c>
      <c r="U44" s="4" t="n">
        <v>114.185074</v>
      </c>
    </row>
    <row r="45" customFormat="false" ht="15" hidden="false" customHeight="false" outlineLevel="0" collapsed="false">
      <c r="A45" s="2" t="s">
        <v>216</v>
      </c>
      <c r="B45" s="2" t="s">
        <v>217</v>
      </c>
      <c r="C45" s="3" t="s">
        <v>218</v>
      </c>
      <c r="D45" s="2" t="s">
        <v>219</v>
      </c>
      <c r="E45" s="2" t="s">
        <v>74</v>
      </c>
      <c r="F45" s="2" t="s">
        <v>220</v>
      </c>
      <c r="G45" s="4" t="n">
        <v>22.328744</v>
      </c>
      <c r="H45" s="4" t="n">
        <v>114.189662</v>
      </c>
      <c r="I45" s="2" t="n">
        <v>13.35</v>
      </c>
      <c r="J45" s="2" t="n">
        <v>2</v>
      </c>
      <c r="K45" s="4" t="n">
        <v>22.448318</v>
      </c>
      <c r="L45" s="4" t="n">
        <v>114.164659</v>
      </c>
      <c r="M45" s="2" t="s">
        <v>76</v>
      </c>
      <c r="N45" s="8" t="s">
        <v>77</v>
      </c>
      <c r="O45" s="2" t="s">
        <v>221</v>
      </c>
      <c r="P45" s="6"/>
      <c r="Q45" s="6"/>
      <c r="R45" s="7" t="n">
        <f aca="false">IF(AND(ISNUMBER(P45),ISNUMBER(Q45)),P45,K45)</f>
        <v>22.448318</v>
      </c>
      <c r="S45" s="7" t="n">
        <f aca="false">IF(AND(ISNUMBER(P45),ISNUMBER(Q45)),Q45,L45)</f>
        <v>114.164659</v>
      </c>
      <c r="T45" s="4" t="n">
        <v>22.447291</v>
      </c>
      <c r="U45" s="4" t="n">
        <v>114.167034</v>
      </c>
    </row>
    <row r="46" customFormat="false" ht="15" hidden="false" customHeight="false" outlineLevel="0" collapsed="false">
      <c r="A46" s="2" t="s">
        <v>222</v>
      </c>
      <c r="B46" s="2" t="s">
        <v>223</v>
      </c>
      <c r="C46" s="3" t="s">
        <v>224</v>
      </c>
      <c r="D46" s="2" t="s">
        <v>225</v>
      </c>
      <c r="E46" s="2" t="s">
        <v>74</v>
      </c>
      <c r="F46" s="2" t="s">
        <v>226</v>
      </c>
      <c r="G46" s="4" t="n">
        <v>22.440207</v>
      </c>
      <c r="H46" s="4" t="n">
        <v>114.005387</v>
      </c>
      <c r="I46" s="2" t="n">
        <v>12.98</v>
      </c>
      <c r="J46" s="2" t="n">
        <v>10.75</v>
      </c>
      <c r="K46" s="4" t="n">
        <v>22.462842</v>
      </c>
      <c r="L46" s="4" t="n">
        <v>114.127141</v>
      </c>
      <c r="M46" s="2" t="s">
        <v>76</v>
      </c>
      <c r="N46" s="8" t="s">
        <v>77</v>
      </c>
      <c r="O46" s="2" t="s">
        <v>227</v>
      </c>
      <c r="P46" s="6"/>
      <c r="Q46" s="6"/>
      <c r="R46" s="7" t="n">
        <f aca="false">IF(AND(ISNUMBER(P46),ISNUMBER(Q46)),P46,K46)</f>
        <v>22.462842</v>
      </c>
      <c r="S46" s="7" t="n">
        <f aca="false">IF(AND(ISNUMBER(P46),ISNUMBER(Q46)),Q46,L46)</f>
        <v>114.127141</v>
      </c>
      <c r="T46" s="4" t="n">
        <v>22.463799</v>
      </c>
      <c r="U46" s="4" t="n">
        <v>114.129334</v>
      </c>
    </row>
    <row r="47" customFormat="false" ht="15" hidden="false" customHeight="false" outlineLevel="0" collapsed="false">
      <c r="A47" s="2" t="s">
        <v>228</v>
      </c>
      <c r="B47" s="2" t="s">
        <v>229</v>
      </c>
      <c r="C47" s="3" t="s">
        <v>230</v>
      </c>
      <c r="D47" s="2" t="s">
        <v>231</v>
      </c>
      <c r="E47" s="2" t="s">
        <v>123</v>
      </c>
      <c r="F47" s="2" t="s">
        <v>232</v>
      </c>
      <c r="G47" s="4" t="n">
        <v>22.448607</v>
      </c>
      <c r="H47" s="4" t="n">
        <v>114.164695</v>
      </c>
      <c r="I47" s="2" t="n">
        <v>11.94</v>
      </c>
      <c r="J47" s="2" t="n">
        <v>2</v>
      </c>
      <c r="K47" s="4" t="n">
        <v>22.345722</v>
      </c>
      <c r="L47" s="4" t="n">
        <v>114.199635</v>
      </c>
      <c r="M47" s="2" t="s">
        <v>76</v>
      </c>
      <c r="N47" s="8" t="s">
        <v>77</v>
      </c>
      <c r="O47" s="2" t="s">
        <v>233</v>
      </c>
      <c r="P47" s="6"/>
      <c r="Q47" s="6"/>
      <c r="R47" s="7" t="n">
        <f aca="false">IF(AND(ISNUMBER(P47),ISNUMBER(Q47)),P47,K47)</f>
        <v>22.345722</v>
      </c>
      <c r="S47" s="7" t="n">
        <f aca="false">IF(AND(ISNUMBER(P47),ISNUMBER(Q47)),Q47,L47)</f>
        <v>114.199635</v>
      </c>
      <c r="T47" s="4" t="n">
        <v>22.346728</v>
      </c>
      <c r="U47" s="4" t="n">
        <v>114.201792</v>
      </c>
    </row>
    <row r="48" customFormat="false" ht="15" hidden="false" customHeight="false" outlineLevel="0" collapsed="false">
      <c r="A48" s="2" t="s">
        <v>234</v>
      </c>
      <c r="B48" s="2" t="s">
        <v>235</v>
      </c>
      <c r="C48" s="3" t="s">
        <v>236</v>
      </c>
      <c r="D48" s="2" t="s">
        <v>237</v>
      </c>
      <c r="E48" s="2" t="s">
        <v>238</v>
      </c>
      <c r="F48" s="2" t="s">
        <v>239</v>
      </c>
      <c r="G48" s="4" t="n">
        <v>22.3187</v>
      </c>
      <c r="H48" s="4" t="n">
        <v>114.215237</v>
      </c>
      <c r="I48" s="2" t="n">
        <v>11.67</v>
      </c>
      <c r="J48" s="2" t="n">
        <v>2</v>
      </c>
      <c r="K48" s="4" t="n">
        <v>22.368826</v>
      </c>
      <c r="L48" s="4" t="n">
        <v>114.115261</v>
      </c>
      <c r="M48" s="2" t="s">
        <v>76</v>
      </c>
      <c r="N48" s="8" t="s">
        <v>77</v>
      </c>
      <c r="O48" s="2" t="s">
        <v>240</v>
      </c>
      <c r="P48" s="6"/>
      <c r="Q48" s="6"/>
      <c r="R48" s="7" t="n">
        <f aca="false">IF(AND(ISNUMBER(P48),ISNUMBER(Q48)),P48,K48)</f>
        <v>22.368826</v>
      </c>
      <c r="S48" s="7" t="n">
        <f aca="false">IF(AND(ISNUMBER(P48),ISNUMBER(Q48)),Q48,L48)</f>
        <v>114.115261</v>
      </c>
      <c r="T48" s="4" t="n">
        <v>22.370604</v>
      </c>
      <c r="U48" s="4" t="n">
        <v>114.116404</v>
      </c>
    </row>
    <row r="49" customFormat="false" ht="15" hidden="false" customHeight="false" outlineLevel="0" collapsed="false">
      <c r="A49" s="2" t="s">
        <v>241</v>
      </c>
      <c r="B49" s="2" t="s">
        <v>242</v>
      </c>
      <c r="C49" s="3" t="s">
        <v>243</v>
      </c>
      <c r="D49" s="2" t="s">
        <v>207</v>
      </c>
      <c r="E49" s="2" t="s">
        <v>74</v>
      </c>
      <c r="F49" s="2" t="s">
        <v>244</v>
      </c>
      <c r="G49" s="4" t="n">
        <v>22.419821</v>
      </c>
      <c r="H49" s="4" t="n">
        <v>113.983229</v>
      </c>
      <c r="I49" s="2" t="n">
        <v>11.3</v>
      </c>
      <c r="J49" s="2" t="n">
        <v>5.75</v>
      </c>
      <c r="K49" s="4" t="n">
        <v>22.442571</v>
      </c>
      <c r="L49" s="4" t="n">
        <v>114.092027</v>
      </c>
      <c r="M49" s="2" t="s">
        <v>76</v>
      </c>
      <c r="N49" s="8" t="s">
        <v>77</v>
      </c>
      <c r="O49" s="2" t="s">
        <v>245</v>
      </c>
      <c r="P49" s="6"/>
      <c r="Q49" s="6"/>
      <c r="R49" s="7" t="n">
        <f aca="false">IF(AND(ISNUMBER(P49),ISNUMBER(Q49)),P49,K49)</f>
        <v>22.442571</v>
      </c>
      <c r="S49" s="7" t="n">
        <f aca="false">IF(AND(ISNUMBER(P49),ISNUMBER(Q49)),Q49,L49)</f>
        <v>114.092027</v>
      </c>
      <c r="T49" s="4" t="n">
        <v>22.442851</v>
      </c>
      <c r="U49" s="4" t="n">
        <v>114.090542</v>
      </c>
    </row>
    <row r="50" customFormat="false" ht="15" hidden="false" customHeight="false" outlineLevel="0" collapsed="false">
      <c r="A50" s="2" t="s">
        <v>246</v>
      </c>
      <c r="B50" s="2" t="s">
        <v>247</v>
      </c>
      <c r="C50" s="3" t="s">
        <v>248</v>
      </c>
      <c r="D50" s="2" t="s">
        <v>249</v>
      </c>
      <c r="E50" s="2" t="s">
        <v>238</v>
      </c>
      <c r="F50" s="2" t="s">
        <v>250</v>
      </c>
      <c r="G50" s="4" t="n">
        <v>22.333824</v>
      </c>
      <c r="H50" s="4" t="n">
        <v>114.162598</v>
      </c>
      <c r="I50" s="2" t="n">
        <v>10.93</v>
      </c>
      <c r="J50" s="2" t="n">
        <v>2</v>
      </c>
      <c r="K50" s="4" t="n">
        <v>22.367328</v>
      </c>
      <c r="L50" s="4" t="n">
        <v>114.059675</v>
      </c>
      <c r="M50" s="2" t="s">
        <v>76</v>
      </c>
      <c r="N50" s="8" t="s">
        <v>77</v>
      </c>
      <c r="O50" s="2" t="s">
        <v>251</v>
      </c>
      <c r="P50" s="6"/>
      <c r="Q50" s="6"/>
      <c r="R50" s="7" t="n">
        <f aca="false">IF(AND(ISNUMBER(P50),ISNUMBER(Q50)),P50,K50)</f>
        <v>22.367328</v>
      </c>
      <c r="S50" s="7" t="n">
        <f aca="false">IF(AND(ISNUMBER(P50),ISNUMBER(Q50)),Q50,L50)</f>
        <v>114.059675</v>
      </c>
      <c r="T50" s="4" t="n">
        <v>22.365991</v>
      </c>
      <c r="U50" s="4" t="n">
        <v>114.061944</v>
      </c>
    </row>
    <row r="51" customFormat="false" ht="15" hidden="false" customHeight="false" outlineLevel="0" collapsed="false">
      <c r="A51" s="2" t="s">
        <v>252</v>
      </c>
      <c r="B51" s="2" t="s">
        <v>253</v>
      </c>
      <c r="C51" s="3" t="s">
        <v>254</v>
      </c>
      <c r="D51" s="2" t="s">
        <v>135</v>
      </c>
      <c r="E51" s="2" t="s">
        <v>49</v>
      </c>
      <c r="F51" s="2" t="s">
        <v>93</v>
      </c>
      <c r="G51" s="4" t="n">
        <v>22.393275</v>
      </c>
      <c r="H51" s="4" t="n">
        <v>113.935889</v>
      </c>
      <c r="I51" s="2" t="n">
        <v>9.94</v>
      </c>
      <c r="J51" s="2" t="n">
        <v>2</v>
      </c>
      <c r="K51" s="4" t="n">
        <v>22.451722</v>
      </c>
      <c r="L51" s="4" t="n">
        <v>114.008548</v>
      </c>
      <c r="M51" s="2" t="s">
        <v>76</v>
      </c>
      <c r="N51" s="8" t="s">
        <v>77</v>
      </c>
      <c r="O51" s="2" t="s">
        <v>94</v>
      </c>
      <c r="P51" s="6"/>
      <c r="Q51" s="6"/>
      <c r="R51" s="7" t="n">
        <f aca="false">IF(AND(ISNUMBER(P51),ISNUMBER(Q51)),P51,K51)</f>
        <v>22.451722</v>
      </c>
      <c r="S51" s="7" t="n">
        <f aca="false">IF(AND(ISNUMBER(P51),ISNUMBER(Q51)),Q51,L51)</f>
        <v>114.008548</v>
      </c>
      <c r="T51" s="4" t="n">
        <v>22.452919</v>
      </c>
      <c r="U51" s="4" t="n">
        <v>114.007274</v>
      </c>
    </row>
    <row r="52" customFormat="false" ht="15" hidden="false" customHeight="false" outlineLevel="0" collapsed="false">
      <c r="A52" s="2" t="s">
        <v>255</v>
      </c>
      <c r="B52" s="2" t="s">
        <v>256</v>
      </c>
      <c r="C52" s="3" t="s">
        <v>257</v>
      </c>
      <c r="D52" s="2" t="s">
        <v>237</v>
      </c>
      <c r="E52" s="2" t="s">
        <v>238</v>
      </c>
      <c r="F52" s="2" t="s">
        <v>239</v>
      </c>
      <c r="G52" s="4" t="n">
        <v>22.285309</v>
      </c>
      <c r="H52" s="4" t="n">
        <v>114.138295</v>
      </c>
      <c r="I52" s="2" t="n">
        <v>9.73</v>
      </c>
      <c r="J52" s="2" t="n">
        <v>2</v>
      </c>
      <c r="K52" s="4" t="n">
        <v>22.371304</v>
      </c>
      <c r="L52" s="4" t="n">
        <v>114.116912</v>
      </c>
      <c r="M52" s="2" t="s">
        <v>76</v>
      </c>
      <c r="N52" s="8" t="s">
        <v>77</v>
      </c>
      <c r="O52" s="2" t="s">
        <v>240</v>
      </c>
      <c r="P52" s="6"/>
      <c r="Q52" s="6"/>
      <c r="R52" s="7" t="n">
        <f aca="false">IF(AND(ISNUMBER(P52),ISNUMBER(Q52)),P52,K52)</f>
        <v>22.371304</v>
      </c>
      <c r="S52" s="7" t="n">
        <f aca="false">IF(AND(ISNUMBER(P52),ISNUMBER(Q52)),Q52,L52)</f>
        <v>114.116912</v>
      </c>
      <c r="T52" s="4" t="n">
        <v>22.370604</v>
      </c>
      <c r="U52" s="4" t="n">
        <v>114.116404</v>
      </c>
    </row>
    <row r="53" customFormat="false" ht="15" hidden="false" customHeight="false" outlineLevel="0" collapsed="false">
      <c r="A53" s="2" t="s">
        <v>258</v>
      </c>
      <c r="B53" s="2" t="s">
        <v>259</v>
      </c>
      <c r="C53" s="3" t="s">
        <v>260</v>
      </c>
      <c r="D53" s="2" t="s">
        <v>261</v>
      </c>
      <c r="E53" s="2" t="s">
        <v>196</v>
      </c>
      <c r="F53" s="2" t="s">
        <v>262</v>
      </c>
      <c r="G53" s="4" t="n">
        <v>22.377853</v>
      </c>
      <c r="H53" s="4" t="n">
        <v>114.1103</v>
      </c>
      <c r="I53" s="2" t="n">
        <v>9.46</v>
      </c>
      <c r="J53" s="2" t="n">
        <v>6.21</v>
      </c>
      <c r="K53" s="4" t="n">
        <v>22.397915</v>
      </c>
      <c r="L53" s="4" t="n">
        <v>114.19738</v>
      </c>
      <c r="M53" s="2" t="s">
        <v>76</v>
      </c>
      <c r="N53" s="8" t="s">
        <v>77</v>
      </c>
      <c r="O53" s="2" t="s">
        <v>263</v>
      </c>
      <c r="P53" s="6"/>
      <c r="Q53" s="6"/>
      <c r="R53" s="7" t="n">
        <f aca="false">IF(AND(ISNUMBER(P53),ISNUMBER(Q53)),P53,K53)</f>
        <v>22.397915</v>
      </c>
      <c r="S53" s="7" t="n">
        <f aca="false">IF(AND(ISNUMBER(P53),ISNUMBER(Q53)),Q53,L53)</f>
        <v>114.19738</v>
      </c>
      <c r="T53" s="4" t="n">
        <v>22.397306</v>
      </c>
      <c r="U53" s="4" t="n">
        <v>114.199906</v>
      </c>
    </row>
    <row r="54" customFormat="false" ht="15" hidden="false" customHeight="false" outlineLevel="0" collapsed="false">
      <c r="A54" s="2" t="s">
        <v>264</v>
      </c>
      <c r="B54" s="2" t="s">
        <v>265</v>
      </c>
      <c r="C54" s="3" t="s">
        <v>266</v>
      </c>
      <c r="D54" s="2" t="s">
        <v>174</v>
      </c>
      <c r="E54" s="2" t="s">
        <v>74</v>
      </c>
      <c r="F54" s="2" t="s">
        <v>267</v>
      </c>
      <c r="G54" s="4" t="n">
        <v>22.4324</v>
      </c>
      <c r="H54" s="4" t="n">
        <v>114.097495</v>
      </c>
      <c r="I54" s="2" t="n">
        <v>9.39</v>
      </c>
      <c r="J54" s="2" t="n">
        <v>2.02</v>
      </c>
      <c r="K54" s="4" t="n">
        <v>22.500512</v>
      </c>
      <c r="L54" s="4" t="n">
        <v>114.147616</v>
      </c>
      <c r="M54" s="2" t="s">
        <v>76</v>
      </c>
      <c r="N54" s="8" t="s">
        <v>77</v>
      </c>
      <c r="O54" s="2" t="s">
        <v>268</v>
      </c>
      <c r="P54" s="6"/>
      <c r="Q54" s="6"/>
      <c r="R54" s="7" t="n">
        <f aca="false">IF(AND(ISNUMBER(P54),ISNUMBER(Q54)),P54,K54)</f>
        <v>22.500512</v>
      </c>
      <c r="S54" s="7" t="n">
        <f aca="false">IF(AND(ISNUMBER(P54),ISNUMBER(Q54)),Q54,L54)</f>
        <v>114.147616</v>
      </c>
      <c r="T54" s="4" t="n">
        <v>22.500849</v>
      </c>
      <c r="U54" s="4" t="n">
        <v>114.150096</v>
      </c>
    </row>
    <row r="55" customFormat="false" ht="15" hidden="false" customHeight="false" outlineLevel="0" collapsed="false">
      <c r="A55" s="2" t="s">
        <v>269</v>
      </c>
      <c r="B55" s="2" t="s">
        <v>270</v>
      </c>
      <c r="C55" s="3" t="s">
        <v>271</v>
      </c>
      <c r="D55" s="2" t="s">
        <v>135</v>
      </c>
      <c r="E55" s="2" t="s">
        <v>74</v>
      </c>
      <c r="F55" s="2" t="s">
        <v>272</v>
      </c>
      <c r="G55" s="4" t="n">
        <v>22.381932</v>
      </c>
      <c r="H55" s="4" t="n">
        <v>114.066875</v>
      </c>
      <c r="I55" s="2" t="n">
        <v>9.2</v>
      </c>
      <c r="J55" s="2" t="n">
        <v>5.37</v>
      </c>
      <c r="K55" s="4" t="n">
        <v>22.456127</v>
      </c>
      <c r="L55" s="4" t="n">
        <v>114.026046</v>
      </c>
      <c r="M55" s="2" t="s">
        <v>76</v>
      </c>
      <c r="N55" s="8" t="s">
        <v>77</v>
      </c>
      <c r="O55" s="2" t="s">
        <v>273</v>
      </c>
      <c r="P55" s="6"/>
      <c r="Q55" s="6"/>
      <c r="R55" s="7" t="n">
        <f aca="false">IF(AND(ISNUMBER(P55),ISNUMBER(Q55)),P55,K55)</f>
        <v>22.456127</v>
      </c>
      <c r="S55" s="7" t="n">
        <f aca="false">IF(AND(ISNUMBER(P55),ISNUMBER(Q55)),Q55,L55)</f>
        <v>114.026046</v>
      </c>
      <c r="T55" s="4" t="n">
        <v>22.455527</v>
      </c>
      <c r="U55" s="4" t="n">
        <v>114.025829</v>
      </c>
    </row>
    <row r="56" customFormat="false" ht="15" hidden="false" customHeight="false" outlineLevel="0" collapsed="false">
      <c r="A56" s="2" t="s">
        <v>274</v>
      </c>
      <c r="B56" s="2" t="s">
        <v>275</v>
      </c>
      <c r="C56" s="3" t="s">
        <v>276</v>
      </c>
      <c r="D56" s="2" t="s">
        <v>207</v>
      </c>
      <c r="E56" s="2" t="s">
        <v>74</v>
      </c>
      <c r="F56" s="2" t="s">
        <v>277</v>
      </c>
      <c r="G56" s="4" t="n">
        <v>22.471619</v>
      </c>
      <c r="H56" s="4" t="n">
        <v>114.145781</v>
      </c>
      <c r="I56" s="2" t="n">
        <v>8.75</v>
      </c>
      <c r="J56" s="2" t="n">
        <v>2.41</v>
      </c>
      <c r="K56" s="4" t="n">
        <v>22.428876</v>
      </c>
      <c r="L56" s="4" t="n">
        <v>114.075784</v>
      </c>
      <c r="M56" s="2" t="s">
        <v>76</v>
      </c>
      <c r="N56" s="8" t="s">
        <v>77</v>
      </c>
      <c r="O56" s="2" t="s">
        <v>278</v>
      </c>
      <c r="P56" s="6"/>
      <c r="Q56" s="6"/>
      <c r="R56" s="7" t="n">
        <f aca="false">IF(AND(ISNUMBER(P56),ISNUMBER(Q56)),P56,K56)</f>
        <v>22.428876</v>
      </c>
      <c r="S56" s="7" t="n">
        <f aca="false">IF(AND(ISNUMBER(P56),ISNUMBER(Q56)),Q56,L56)</f>
        <v>114.075784</v>
      </c>
      <c r="T56" s="4" t="n">
        <v>22.426206</v>
      </c>
      <c r="U56" s="4" t="n">
        <v>114.076042</v>
      </c>
    </row>
    <row r="57" customFormat="false" ht="15" hidden="false" customHeight="false" outlineLevel="0" collapsed="false">
      <c r="A57" s="2" t="s">
        <v>279</v>
      </c>
      <c r="B57" s="2" t="s">
        <v>280</v>
      </c>
      <c r="C57" s="3" t="s">
        <v>281</v>
      </c>
      <c r="D57" s="2" t="s">
        <v>207</v>
      </c>
      <c r="E57" s="2" t="s">
        <v>74</v>
      </c>
      <c r="F57" s="2" t="s">
        <v>244</v>
      </c>
      <c r="G57" s="4" t="n">
        <v>22.451773</v>
      </c>
      <c r="H57" s="4" t="n">
        <v>114.009049</v>
      </c>
      <c r="I57" s="2" t="n">
        <v>8.42</v>
      </c>
      <c r="J57" s="2" t="n">
        <v>5.75</v>
      </c>
      <c r="K57" s="4" t="n">
        <v>22.441952</v>
      </c>
      <c r="L57" s="4" t="n">
        <v>114.088312</v>
      </c>
      <c r="M57" s="2" t="s">
        <v>76</v>
      </c>
      <c r="N57" s="8" t="s">
        <v>77</v>
      </c>
      <c r="O57" s="2" t="s">
        <v>245</v>
      </c>
      <c r="P57" s="6"/>
      <c r="Q57" s="6"/>
      <c r="R57" s="7" t="n">
        <f aca="false">IF(AND(ISNUMBER(P57),ISNUMBER(Q57)),P57,K57)</f>
        <v>22.441952</v>
      </c>
      <c r="S57" s="7" t="n">
        <f aca="false">IF(AND(ISNUMBER(P57),ISNUMBER(Q57)),Q57,L57)</f>
        <v>114.088312</v>
      </c>
      <c r="T57" s="4" t="n">
        <v>22.442851</v>
      </c>
      <c r="U57" s="4" t="n">
        <v>114.090542</v>
      </c>
    </row>
    <row r="58" customFormat="false" ht="15" hidden="false" customHeight="false" outlineLevel="0" collapsed="false">
      <c r="A58" s="2" t="s">
        <v>282</v>
      </c>
      <c r="B58" s="2" t="s">
        <v>283</v>
      </c>
      <c r="C58" s="3" t="s">
        <v>284</v>
      </c>
      <c r="D58" s="2" t="s">
        <v>285</v>
      </c>
      <c r="E58" s="2" t="s">
        <v>25</v>
      </c>
      <c r="F58" s="2" t="s">
        <v>286</v>
      </c>
      <c r="G58" s="4" t="n">
        <v>22.279454</v>
      </c>
      <c r="H58" s="4" t="n">
        <v>114.229877</v>
      </c>
      <c r="I58" s="2" t="n">
        <v>8.25</v>
      </c>
      <c r="J58" s="2" t="n">
        <v>2</v>
      </c>
      <c r="K58" s="4" t="n">
        <v>22.323733</v>
      </c>
      <c r="L58" s="4" t="n">
        <v>114.167535</v>
      </c>
      <c r="M58" s="2" t="s">
        <v>76</v>
      </c>
      <c r="N58" s="8" t="s">
        <v>77</v>
      </c>
      <c r="O58" s="2" t="s">
        <v>287</v>
      </c>
      <c r="P58" s="6"/>
      <c r="Q58" s="6"/>
      <c r="R58" s="7" t="n">
        <f aca="false">IF(AND(ISNUMBER(P58),ISNUMBER(Q58)),P58,K58)</f>
        <v>22.323733</v>
      </c>
      <c r="S58" s="7" t="n">
        <f aca="false">IF(AND(ISNUMBER(P58),ISNUMBER(Q58)),Q58,L58)</f>
        <v>114.167535</v>
      </c>
      <c r="T58" s="4" t="n">
        <v>22.325296</v>
      </c>
      <c r="U58" s="4" t="n">
        <v>114.166654</v>
      </c>
    </row>
    <row r="59" customFormat="false" ht="15" hidden="false" customHeight="false" outlineLevel="0" collapsed="false">
      <c r="A59" s="2" t="s">
        <v>288</v>
      </c>
      <c r="B59" s="2" t="s">
        <v>289</v>
      </c>
      <c r="C59" s="3" t="s">
        <v>290</v>
      </c>
      <c r="D59" s="2" t="s">
        <v>291</v>
      </c>
      <c r="E59" s="2" t="s">
        <v>292</v>
      </c>
      <c r="F59" s="2" t="s">
        <v>293</v>
      </c>
      <c r="G59" s="4" t="n">
        <v>22.376304</v>
      </c>
      <c r="H59" s="4" t="n">
        <v>114.196838</v>
      </c>
      <c r="I59" s="2" t="n">
        <v>7.75</v>
      </c>
      <c r="J59" s="2" t="n">
        <v>2.09</v>
      </c>
      <c r="K59" s="4" t="n">
        <v>22.380263</v>
      </c>
      <c r="L59" s="4" t="n">
        <v>114.27211</v>
      </c>
      <c r="M59" s="2" t="s">
        <v>76</v>
      </c>
      <c r="N59" s="8" t="s">
        <v>77</v>
      </c>
      <c r="O59" s="2" t="s">
        <v>294</v>
      </c>
      <c r="P59" s="6"/>
      <c r="Q59" s="6"/>
      <c r="R59" s="7" t="n">
        <f aca="false">IF(AND(ISNUMBER(P59),ISNUMBER(Q59)),P59,K59)</f>
        <v>22.380263</v>
      </c>
      <c r="S59" s="7" t="n">
        <f aca="false">IF(AND(ISNUMBER(P59),ISNUMBER(Q59)),Q59,L59)</f>
        <v>114.27211</v>
      </c>
      <c r="T59" s="4" t="n">
        <v>22.382148</v>
      </c>
      <c r="U59" s="4" t="n">
        <v>114.272124</v>
      </c>
    </row>
    <row r="60" customFormat="false" ht="15" hidden="false" customHeight="false" outlineLevel="0" collapsed="false">
      <c r="A60" s="2" t="s">
        <v>295</v>
      </c>
      <c r="B60" s="2" t="s">
        <v>296</v>
      </c>
      <c r="C60" s="3" t="s">
        <v>297</v>
      </c>
      <c r="D60" s="2" t="s">
        <v>298</v>
      </c>
      <c r="E60" s="2" t="s">
        <v>49</v>
      </c>
      <c r="F60" s="2" t="s">
        <v>299</v>
      </c>
      <c r="G60" s="4" t="n">
        <v>22.471675</v>
      </c>
      <c r="H60" s="4" t="n">
        <v>114.059229</v>
      </c>
      <c r="I60" s="2" t="n">
        <v>7.59</v>
      </c>
      <c r="J60" s="2" t="n">
        <v>2</v>
      </c>
      <c r="K60" s="4" t="n">
        <v>22.451569</v>
      </c>
      <c r="L60" s="4" t="n">
        <v>113.986637</v>
      </c>
      <c r="M60" s="2" t="s">
        <v>76</v>
      </c>
      <c r="N60" s="8" t="s">
        <v>77</v>
      </c>
      <c r="O60" s="2" t="s">
        <v>300</v>
      </c>
      <c r="P60" s="6"/>
      <c r="Q60" s="6"/>
      <c r="R60" s="7" t="n">
        <f aca="false">IF(AND(ISNUMBER(P60),ISNUMBER(Q60)),P60,K60)</f>
        <v>22.451569</v>
      </c>
      <c r="S60" s="7" t="n">
        <f aca="false">IF(AND(ISNUMBER(P60),ISNUMBER(Q60)),Q60,L60)</f>
        <v>113.986637</v>
      </c>
      <c r="T60" s="4" t="n">
        <v>22.450273</v>
      </c>
      <c r="U60" s="4" t="n">
        <v>113.988929</v>
      </c>
    </row>
    <row r="61" customFormat="false" ht="15" hidden="false" customHeight="false" outlineLevel="0" collapsed="false">
      <c r="A61" s="2" t="s">
        <v>301</v>
      </c>
      <c r="B61" s="2" t="s">
        <v>302</v>
      </c>
      <c r="C61" s="3" t="s">
        <v>303</v>
      </c>
      <c r="D61" s="2" t="s">
        <v>304</v>
      </c>
      <c r="E61" s="2" t="s">
        <v>123</v>
      </c>
      <c r="F61" s="2" t="s">
        <v>305</v>
      </c>
      <c r="G61" s="4" t="n">
        <v>22.279946</v>
      </c>
      <c r="H61" s="4" t="n">
        <v>114.13102</v>
      </c>
      <c r="I61" s="2" t="n">
        <v>7.5</v>
      </c>
      <c r="J61" s="2" t="n">
        <v>2</v>
      </c>
      <c r="K61" s="4" t="n">
        <v>22.331571</v>
      </c>
      <c r="L61" s="4" t="n">
        <v>114.174476</v>
      </c>
      <c r="M61" s="2" t="s">
        <v>76</v>
      </c>
      <c r="N61" s="8" t="s">
        <v>77</v>
      </c>
      <c r="O61" s="2" t="s">
        <v>306</v>
      </c>
      <c r="P61" s="6"/>
      <c r="Q61" s="6"/>
      <c r="R61" s="7" t="n">
        <f aca="false">IF(AND(ISNUMBER(P61),ISNUMBER(Q61)),P61,K61)</f>
        <v>22.331571</v>
      </c>
      <c r="S61" s="7" t="n">
        <f aca="false">IF(AND(ISNUMBER(P61),ISNUMBER(Q61)),Q61,L61)</f>
        <v>114.174476</v>
      </c>
      <c r="T61" s="4" t="n">
        <v>22.333177</v>
      </c>
      <c r="U61" s="4" t="n">
        <v>114.175992</v>
      </c>
    </row>
    <row r="62" customFormat="false" ht="15" hidden="false" customHeight="false" outlineLevel="0" collapsed="false">
      <c r="A62" s="2" t="s">
        <v>307</v>
      </c>
      <c r="B62" s="2" t="s">
        <v>308</v>
      </c>
      <c r="C62" s="3" t="s">
        <v>309</v>
      </c>
      <c r="D62" s="2" t="s">
        <v>291</v>
      </c>
      <c r="E62" s="2" t="s">
        <v>292</v>
      </c>
      <c r="F62" s="2" t="s">
        <v>310</v>
      </c>
      <c r="G62" s="4" t="n">
        <v>22.290025</v>
      </c>
      <c r="H62" s="4" t="n">
        <v>114.209188</v>
      </c>
      <c r="I62" s="2" t="n">
        <v>7.42</v>
      </c>
      <c r="J62" s="2" t="n">
        <v>2.86</v>
      </c>
      <c r="K62" s="4" t="n">
        <v>22.319726</v>
      </c>
      <c r="L62" s="4" t="n">
        <v>114.27126</v>
      </c>
      <c r="M62" s="2" t="s">
        <v>76</v>
      </c>
      <c r="N62" s="8" t="s">
        <v>77</v>
      </c>
      <c r="O62" s="2" t="s">
        <v>311</v>
      </c>
      <c r="P62" s="6"/>
      <c r="Q62" s="6"/>
      <c r="R62" s="7" t="n">
        <f aca="false">IF(AND(ISNUMBER(P62),ISNUMBER(Q62)),P62,K62)</f>
        <v>22.319726</v>
      </c>
      <c r="S62" s="7" t="n">
        <f aca="false">IF(AND(ISNUMBER(P62),ISNUMBER(Q62)),Q62,L62)</f>
        <v>114.27126</v>
      </c>
      <c r="T62" s="4" t="n">
        <v>22.320864</v>
      </c>
      <c r="U62" s="4" t="n">
        <v>114.27328</v>
      </c>
    </row>
    <row r="63" customFormat="false" ht="15" hidden="false" customHeight="false" outlineLevel="0" collapsed="false">
      <c r="A63" s="2" t="s">
        <v>312</v>
      </c>
      <c r="B63" s="2" t="s">
        <v>313</v>
      </c>
      <c r="C63" s="3" t="s">
        <v>314</v>
      </c>
      <c r="D63" s="2" t="s">
        <v>315</v>
      </c>
      <c r="E63" s="2" t="s">
        <v>49</v>
      </c>
      <c r="F63" s="2" t="s">
        <v>316</v>
      </c>
      <c r="G63" s="4" t="n">
        <v>22.489321</v>
      </c>
      <c r="H63" s="4" t="n">
        <v>113.993913</v>
      </c>
      <c r="I63" s="2" t="n">
        <v>7.39</v>
      </c>
      <c r="J63" s="2" t="n">
        <v>5</v>
      </c>
      <c r="K63" s="4" t="n">
        <v>22.422222</v>
      </c>
      <c r="L63" s="4" t="n">
        <v>113.985303</v>
      </c>
      <c r="M63" s="2" t="s">
        <v>76</v>
      </c>
      <c r="N63" s="8" t="s">
        <v>77</v>
      </c>
      <c r="O63" s="2" t="s">
        <v>317</v>
      </c>
      <c r="P63" s="6"/>
      <c r="Q63" s="6"/>
      <c r="R63" s="7" t="n">
        <f aca="false">IF(AND(ISNUMBER(P63),ISNUMBER(Q63)),P63,K63)</f>
        <v>22.422222</v>
      </c>
      <c r="S63" s="7" t="n">
        <f aca="false">IF(AND(ISNUMBER(P63),ISNUMBER(Q63)),Q63,L63)</f>
        <v>113.985303</v>
      </c>
      <c r="T63" s="4" t="n">
        <v>22.423041</v>
      </c>
      <c r="U63" s="4" t="n">
        <v>113.987535</v>
      </c>
    </row>
    <row r="64" customFormat="false" ht="15" hidden="false" customHeight="false" outlineLevel="0" collapsed="false">
      <c r="A64" s="2" t="s">
        <v>318</v>
      </c>
      <c r="B64" s="2" t="s">
        <v>319</v>
      </c>
      <c r="C64" s="3" t="s">
        <v>320</v>
      </c>
      <c r="D64" s="2" t="s">
        <v>135</v>
      </c>
      <c r="E64" s="2" t="s">
        <v>74</v>
      </c>
      <c r="F64" s="2" t="s">
        <v>136</v>
      </c>
      <c r="G64" s="4" t="n">
        <v>22.380028</v>
      </c>
      <c r="H64" s="4" t="n">
        <v>113.9786</v>
      </c>
      <c r="I64" s="2" t="n">
        <v>7.28</v>
      </c>
      <c r="J64" s="2" t="n">
        <v>4.19</v>
      </c>
      <c r="K64" s="4" t="n">
        <v>22.428571</v>
      </c>
      <c r="L64" s="4" t="n">
        <v>114.023331</v>
      </c>
      <c r="M64" s="2" t="s">
        <v>76</v>
      </c>
      <c r="N64" s="8" t="s">
        <v>77</v>
      </c>
      <c r="O64" s="2" t="s">
        <v>137</v>
      </c>
      <c r="P64" s="6"/>
      <c r="Q64" s="6"/>
      <c r="R64" s="7" t="n">
        <f aca="false">IF(AND(ISNUMBER(P64),ISNUMBER(Q64)),P64,K64)</f>
        <v>22.428571</v>
      </c>
      <c r="S64" s="7" t="n">
        <f aca="false">IF(AND(ISNUMBER(P64),ISNUMBER(Q64)),Q64,L64)</f>
        <v>114.023331</v>
      </c>
      <c r="T64" s="4" t="n">
        <v>22.430513</v>
      </c>
      <c r="U64" s="4" t="n">
        <v>114.023831</v>
      </c>
    </row>
    <row r="65" customFormat="false" ht="15" hidden="false" customHeight="false" outlineLevel="0" collapsed="false">
      <c r="A65" s="2" t="s">
        <v>321</v>
      </c>
      <c r="B65" s="2" t="s">
        <v>322</v>
      </c>
      <c r="C65" s="3" t="s">
        <v>323</v>
      </c>
      <c r="D65" s="2" t="s">
        <v>135</v>
      </c>
      <c r="E65" s="2" t="s">
        <v>74</v>
      </c>
      <c r="F65" s="2" t="s">
        <v>136</v>
      </c>
      <c r="G65" s="4" t="n">
        <v>22.380028</v>
      </c>
      <c r="H65" s="4" t="n">
        <v>113.9786</v>
      </c>
      <c r="I65" s="2" t="n">
        <v>7.28</v>
      </c>
      <c r="J65" s="2" t="n">
        <v>4.19</v>
      </c>
      <c r="K65" s="4" t="n">
        <v>22.430889</v>
      </c>
      <c r="L65" s="4" t="n">
        <v>114.02129</v>
      </c>
      <c r="M65" s="2" t="s">
        <v>76</v>
      </c>
      <c r="N65" s="8" t="s">
        <v>77</v>
      </c>
      <c r="O65" s="2" t="s">
        <v>137</v>
      </c>
      <c r="P65" s="6"/>
      <c r="Q65" s="6"/>
      <c r="R65" s="7" t="n">
        <f aca="false">IF(AND(ISNUMBER(P65),ISNUMBER(Q65)),P65,K65)</f>
        <v>22.430889</v>
      </c>
      <c r="S65" s="7" t="n">
        <f aca="false">IF(AND(ISNUMBER(P65),ISNUMBER(Q65)),Q65,L65)</f>
        <v>114.02129</v>
      </c>
      <c r="T65" s="4" t="n">
        <v>22.430513</v>
      </c>
      <c r="U65" s="4" t="n">
        <v>114.023831</v>
      </c>
    </row>
    <row r="66" customFormat="false" ht="15" hidden="false" customHeight="false" outlineLevel="0" collapsed="false">
      <c r="A66" s="2" t="s">
        <v>324</v>
      </c>
      <c r="B66" s="2" t="s">
        <v>325</v>
      </c>
      <c r="C66" s="3" t="s">
        <v>326</v>
      </c>
      <c r="D66" s="2" t="s">
        <v>135</v>
      </c>
      <c r="E66" s="2" t="s">
        <v>74</v>
      </c>
      <c r="F66" s="2" t="s">
        <v>136</v>
      </c>
      <c r="G66" s="4" t="n">
        <v>22.380028</v>
      </c>
      <c r="H66" s="4" t="n">
        <v>113.9786</v>
      </c>
      <c r="I66" s="2" t="n">
        <v>7.28</v>
      </c>
      <c r="J66" s="2" t="n">
        <v>4.19</v>
      </c>
      <c r="K66" s="4" t="n">
        <v>22.430121</v>
      </c>
      <c r="L66" s="4" t="n">
        <v>114.025382</v>
      </c>
      <c r="M66" s="2" t="s">
        <v>76</v>
      </c>
      <c r="N66" s="8" t="s">
        <v>77</v>
      </c>
      <c r="O66" s="2" t="s">
        <v>137</v>
      </c>
      <c r="P66" s="6"/>
      <c r="Q66" s="6"/>
      <c r="R66" s="7" t="n">
        <f aca="false">IF(AND(ISNUMBER(P66),ISNUMBER(Q66)),P66,K66)</f>
        <v>22.430121</v>
      </c>
      <c r="S66" s="7" t="n">
        <f aca="false">IF(AND(ISNUMBER(P66),ISNUMBER(Q66)),Q66,L66)</f>
        <v>114.025382</v>
      </c>
      <c r="T66" s="4" t="n">
        <v>22.430513</v>
      </c>
      <c r="U66" s="4" t="n">
        <v>114.023831</v>
      </c>
    </row>
    <row r="67" customFormat="false" ht="15" hidden="false" customHeight="false" outlineLevel="0" collapsed="false">
      <c r="A67" s="2" t="s">
        <v>327</v>
      </c>
      <c r="B67" s="2" t="s">
        <v>328</v>
      </c>
      <c r="C67" s="3" t="s">
        <v>329</v>
      </c>
      <c r="D67" s="2" t="s">
        <v>135</v>
      </c>
      <c r="E67" s="2" t="s">
        <v>74</v>
      </c>
      <c r="F67" s="2" t="s">
        <v>136</v>
      </c>
      <c r="G67" s="4" t="n">
        <v>22.380028</v>
      </c>
      <c r="H67" s="4" t="n">
        <v>113.9786</v>
      </c>
      <c r="I67" s="2" t="n">
        <v>7.28</v>
      </c>
      <c r="J67" s="2" t="n">
        <v>4.19</v>
      </c>
      <c r="K67" s="4" t="n">
        <v>22.428894</v>
      </c>
      <c r="L67" s="4" t="n">
        <v>114.022416</v>
      </c>
      <c r="M67" s="2" t="s">
        <v>76</v>
      </c>
      <c r="N67" s="8" t="s">
        <v>77</v>
      </c>
      <c r="O67" s="2" t="s">
        <v>137</v>
      </c>
      <c r="P67" s="6"/>
      <c r="Q67" s="6"/>
      <c r="R67" s="7" t="n">
        <f aca="false">IF(AND(ISNUMBER(P67),ISNUMBER(Q67)),P67,K67)</f>
        <v>22.428894</v>
      </c>
      <c r="S67" s="7" t="n">
        <f aca="false">IF(AND(ISNUMBER(P67),ISNUMBER(Q67)),Q67,L67)</f>
        <v>114.022416</v>
      </c>
      <c r="T67" s="4" t="n">
        <v>22.430513</v>
      </c>
      <c r="U67" s="4" t="n">
        <v>114.023831</v>
      </c>
    </row>
    <row r="68" customFormat="false" ht="15" hidden="false" customHeight="false" outlineLevel="0" collapsed="false">
      <c r="A68" s="2" t="s">
        <v>330</v>
      </c>
      <c r="B68" s="2" t="s">
        <v>331</v>
      </c>
      <c r="C68" s="3" t="s">
        <v>332</v>
      </c>
      <c r="D68" s="2" t="s">
        <v>135</v>
      </c>
      <c r="E68" s="2" t="s">
        <v>74</v>
      </c>
      <c r="F68" s="2" t="s">
        <v>136</v>
      </c>
      <c r="G68" s="4" t="n">
        <v>22.380028</v>
      </c>
      <c r="H68" s="4" t="n">
        <v>113.9786</v>
      </c>
      <c r="I68" s="2" t="n">
        <v>7.28</v>
      </c>
      <c r="J68" s="2" t="n">
        <v>4.19</v>
      </c>
      <c r="K68" s="4" t="n">
        <v>22.433202</v>
      </c>
      <c r="L68" s="4" t="n">
        <v>114.023826</v>
      </c>
      <c r="M68" s="2" t="s">
        <v>76</v>
      </c>
      <c r="N68" s="8" t="s">
        <v>77</v>
      </c>
      <c r="O68" s="2" t="s">
        <v>137</v>
      </c>
      <c r="P68" s="6"/>
      <c r="Q68" s="6"/>
      <c r="R68" s="7" t="n">
        <f aca="false">IF(AND(ISNUMBER(P68),ISNUMBER(Q68)),P68,K68)</f>
        <v>22.433202</v>
      </c>
      <c r="S68" s="7" t="n">
        <f aca="false">IF(AND(ISNUMBER(P68),ISNUMBER(Q68)),Q68,L68)</f>
        <v>114.023826</v>
      </c>
      <c r="T68" s="4" t="n">
        <v>22.430513</v>
      </c>
      <c r="U68" s="4" t="n">
        <v>114.023831</v>
      </c>
    </row>
    <row r="69" customFormat="false" ht="15" hidden="false" customHeight="false" outlineLevel="0" collapsed="false">
      <c r="A69" s="2" t="s">
        <v>333</v>
      </c>
      <c r="B69" s="2" t="s">
        <v>334</v>
      </c>
      <c r="C69" s="3" t="s">
        <v>335</v>
      </c>
      <c r="D69" s="2" t="s">
        <v>135</v>
      </c>
      <c r="E69" s="2" t="s">
        <v>74</v>
      </c>
      <c r="F69" s="2" t="s">
        <v>136</v>
      </c>
      <c r="G69" s="4" t="n">
        <v>22.380028</v>
      </c>
      <c r="H69" s="4" t="n">
        <v>113.9786</v>
      </c>
      <c r="I69" s="2" t="n">
        <v>7.28</v>
      </c>
      <c r="J69" s="2" t="n">
        <v>4.19</v>
      </c>
      <c r="K69" s="4" t="n">
        <v>22.428795</v>
      </c>
      <c r="L69" s="4" t="n">
        <v>114.024457</v>
      </c>
      <c r="M69" s="2" t="s">
        <v>76</v>
      </c>
      <c r="N69" s="8" t="s">
        <v>77</v>
      </c>
      <c r="O69" s="2" t="s">
        <v>137</v>
      </c>
      <c r="P69" s="6"/>
      <c r="Q69" s="6"/>
      <c r="R69" s="7" t="n">
        <f aca="false">IF(AND(ISNUMBER(P69),ISNUMBER(Q69)),P69,K69)</f>
        <v>22.428795</v>
      </c>
      <c r="S69" s="7" t="n">
        <f aca="false">IF(AND(ISNUMBER(P69),ISNUMBER(Q69)),Q69,L69)</f>
        <v>114.024457</v>
      </c>
      <c r="T69" s="4" t="n">
        <v>22.430513</v>
      </c>
      <c r="U69" s="4" t="n">
        <v>114.023831</v>
      </c>
    </row>
    <row r="70" customFormat="false" ht="15" hidden="false" customHeight="false" outlineLevel="0" collapsed="false">
      <c r="A70" s="2" t="s">
        <v>336</v>
      </c>
      <c r="B70" s="2" t="s">
        <v>337</v>
      </c>
      <c r="C70" s="3" t="s">
        <v>338</v>
      </c>
      <c r="D70" s="2" t="s">
        <v>135</v>
      </c>
      <c r="E70" s="2" t="s">
        <v>74</v>
      </c>
      <c r="F70" s="2" t="s">
        <v>136</v>
      </c>
      <c r="G70" s="4" t="n">
        <v>22.380028</v>
      </c>
      <c r="H70" s="4" t="n">
        <v>113.9786</v>
      </c>
      <c r="I70" s="2" t="n">
        <v>7.28</v>
      </c>
      <c r="J70" s="2" t="n">
        <v>4.19</v>
      </c>
      <c r="K70" s="4" t="n">
        <v>22.431878</v>
      </c>
      <c r="L70" s="4" t="n">
        <v>114.021577</v>
      </c>
      <c r="M70" s="2" t="s">
        <v>76</v>
      </c>
      <c r="N70" s="8" t="s">
        <v>77</v>
      </c>
      <c r="O70" s="2" t="s">
        <v>137</v>
      </c>
      <c r="P70" s="6"/>
      <c r="Q70" s="6"/>
      <c r="R70" s="7" t="n">
        <f aca="false">IF(AND(ISNUMBER(P70),ISNUMBER(Q70)),P70,K70)</f>
        <v>22.431878</v>
      </c>
      <c r="S70" s="7" t="n">
        <f aca="false">IF(AND(ISNUMBER(P70),ISNUMBER(Q70)),Q70,L70)</f>
        <v>114.021577</v>
      </c>
      <c r="T70" s="4" t="n">
        <v>22.430513</v>
      </c>
      <c r="U70" s="4" t="n">
        <v>114.023831</v>
      </c>
    </row>
    <row r="71" customFormat="false" ht="15" hidden="false" customHeight="false" outlineLevel="0" collapsed="false">
      <c r="A71" s="2" t="s">
        <v>339</v>
      </c>
      <c r="B71" s="2" t="s">
        <v>340</v>
      </c>
      <c r="C71" s="3" t="s">
        <v>341</v>
      </c>
      <c r="D71" s="2" t="s">
        <v>135</v>
      </c>
      <c r="E71" s="2" t="s">
        <v>74</v>
      </c>
      <c r="F71" s="2" t="s">
        <v>136</v>
      </c>
      <c r="G71" s="4" t="n">
        <v>22.380028</v>
      </c>
      <c r="H71" s="4" t="n">
        <v>113.9786</v>
      </c>
      <c r="I71" s="2" t="n">
        <v>7.28</v>
      </c>
      <c r="J71" s="2" t="n">
        <v>4.19</v>
      </c>
      <c r="K71" s="4" t="n">
        <v>22.43024</v>
      </c>
      <c r="L71" s="4" t="n">
        <v>114.025316</v>
      </c>
      <c r="M71" s="2" t="s">
        <v>76</v>
      </c>
      <c r="N71" s="8" t="s">
        <v>77</v>
      </c>
      <c r="O71" s="2" t="s">
        <v>137</v>
      </c>
      <c r="P71" s="6"/>
      <c r="Q71" s="6"/>
      <c r="R71" s="7" t="n">
        <f aca="false">IF(AND(ISNUMBER(P71),ISNUMBER(Q71)),P71,K71)</f>
        <v>22.43024</v>
      </c>
      <c r="S71" s="7" t="n">
        <f aca="false">IF(AND(ISNUMBER(P71),ISNUMBER(Q71)),Q71,L71)</f>
        <v>114.025316</v>
      </c>
      <c r="T71" s="4" t="n">
        <v>22.430513</v>
      </c>
      <c r="U71" s="4" t="n">
        <v>114.023831</v>
      </c>
    </row>
    <row r="72" customFormat="false" ht="15" hidden="false" customHeight="false" outlineLevel="0" collapsed="false">
      <c r="A72" s="2" t="s">
        <v>342</v>
      </c>
      <c r="B72" s="2" t="s">
        <v>343</v>
      </c>
      <c r="C72" s="3" t="s">
        <v>344</v>
      </c>
      <c r="D72" s="2" t="s">
        <v>135</v>
      </c>
      <c r="E72" s="2" t="s">
        <v>74</v>
      </c>
      <c r="F72" s="2" t="s">
        <v>136</v>
      </c>
      <c r="G72" s="4" t="n">
        <v>22.380028</v>
      </c>
      <c r="H72" s="4" t="n">
        <v>113.9786</v>
      </c>
      <c r="I72" s="2" t="n">
        <v>7.28</v>
      </c>
      <c r="J72" s="2" t="n">
        <v>4.19</v>
      </c>
      <c r="K72" s="4" t="n">
        <v>22.429513</v>
      </c>
      <c r="L72" s="4" t="n">
        <v>114.021701</v>
      </c>
      <c r="M72" s="2" t="s">
        <v>76</v>
      </c>
      <c r="N72" s="8" t="s">
        <v>77</v>
      </c>
      <c r="O72" s="2" t="s">
        <v>137</v>
      </c>
      <c r="P72" s="6"/>
      <c r="Q72" s="6"/>
      <c r="R72" s="7" t="n">
        <f aca="false">IF(AND(ISNUMBER(P72),ISNUMBER(Q72)),P72,K72)</f>
        <v>22.429513</v>
      </c>
      <c r="S72" s="7" t="n">
        <f aca="false">IF(AND(ISNUMBER(P72),ISNUMBER(Q72)),Q72,L72)</f>
        <v>114.021701</v>
      </c>
      <c r="T72" s="4" t="n">
        <v>22.430513</v>
      </c>
      <c r="U72" s="4" t="n">
        <v>114.023831</v>
      </c>
    </row>
    <row r="73" customFormat="false" ht="15" hidden="false" customHeight="false" outlineLevel="0" collapsed="false">
      <c r="A73" s="2" t="s">
        <v>345</v>
      </c>
      <c r="B73" s="2" t="s">
        <v>346</v>
      </c>
      <c r="C73" s="3" t="s">
        <v>347</v>
      </c>
      <c r="D73" s="2" t="s">
        <v>135</v>
      </c>
      <c r="E73" s="2" t="s">
        <v>74</v>
      </c>
      <c r="F73" s="2" t="s">
        <v>136</v>
      </c>
      <c r="G73" s="4" t="n">
        <v>22.380028</v>
      </c>
      <c r="H73" s="4" t="n">
        <v>113.9786</v>
      </c>
      <c r="I73" s="2" t="n">
        <v>7.28</v>
      </c>
      <c r="J73" s="2" t="n">
        <v>4.19</v>
      </c>
      <c r="K73" s="4" t="n">
        <v>22.433034</v>
      </c>
      <c r="L73" s="4" t="n">
        <v>114.023031</v>
      </c>
      <c r="M73" s="2" t="s">
        <v>76</v>
      </c>
      <c r="N73" s="8" t="s">
        <v>77</v>
      </c>
      <c r="O73" s="2" t="s">
        <v>137</v>
      </c>
      <c r="P73" s="6"/>
      <c r="Q73" s="6"/>
      <c r="R73" s="7" t="n">
        <f aca="false">IF(AND(ISNUMBER(P73),ISNUMBER(Q73)),P73,K73)</f>
        <v>22.433034</v>
      </c>
      <c r="S73" s="7" t="n">
        <f aca="false">IF(AND(ISNUMBER(P73),ISNUMBER(Q73)),Q73,L73)</f>
        <v>114.023031</v>
      </c>
      <c r="T73" s="4" t="n">
        <v>22.430513</v>
      </c>
      <c r="U73" s="4" t="n">
        <v>114.023831</v>
      </c>
    </row>
    <row r="74" customFormat="false" ht="15" hidden="false" customHeight="false" outlineLevel="0" collapsed="false">
      <c r="A74" s="2" t="s">
        <v>348</v>
      </c>
      <c r="B74" s="2" t="s">
        <v>349</v>
      </c>
      <c r="C74" s="3" t="s">
        <v>350</v>
      </c>
      <c r="D74" s="2" t="s">
        <v>351</v>
      </c>
      <c r="E74" s="2" t="s">
        <v>110</v>
      </c>
      <c r="F74" s="2" t="s">
        <v>352</v>
      </c>
      <c r="G74" s="4" t="n">
        <v>22.380862</v>
      </c>
      <c r="H74" s="4" t="n">
        <v>114.187092</v>
      </c>
      <c r="I74" s="2" t="n">
        <v>7.16</v>
      </c>
      <c r="J74" s="2" t="n">
        <v>2</v>
      </c>
      <c r="K74" s="4" t="n">
        <v>22.322826</v>
      </c>
      <c r="L74" s="4" t="n">
        <v>114.216375</v>
      </c>
      <c r="M74" s="2" t="s">
        <v>76</v>
      </c>
      <c r="N74" s="8" t="s">
        <v>77</v>
      </c>
      <c r="O74" s="2" t="s">
        <v>353</v>
      </c>
      <c r="P74" s="6"/>
      <c r="Q74" s="6"/>
      <c r="R74" s="7" t="n">
        <f aca="false">IF(AND(ISNUMBER(P74),ISNUMBER(Q74)),P74,K74)</f>
        <v>22.322826</v>
      </c>
      <c r="S74" s="7" t="n">
        <f aca="false">IF(AND(ISNUMBER(P74),ISNUMBER(Q74)),Q74,L74)</f>
        <v>114.216375</v>
      </c>
      <c r="T74" s="4" t="n">
        <v>22.322143</v>
      </c>
      <c r="U74" s="4" t="n">
        <v>114.215628</v>
      </c>
    </row>
    <row r="75" customFormat="false" ht="15" hidden="false" customHeight="false" outlineLevel="0" collapsed="false">
      <c r="A75" s="2" t="s">
        <v>354</v>
      </c>
      <c r="B75" s="2" t="s">
        <v>355</v>
      </c>
      <c r="C75" s="3" t="s">
        <v>356</v>
      </c>
      <c r="D75" s="2" t="s">
        <v>135</v>
      </c>
      <c r="E75" s="2" t="s">
        <v>74</v>
      </c>
      <c r="F75" s="2" t="s">
        <v>357</v>
      </c>
      <c r="G75" s="4" t="n">
        <v>22.43162</v>
      </c>
      <c r="H75" s="4" t="n">
        <v>113.962122</v>
      </c>
      <c r="I75" s="2" t="n">
        <v>7.11</v>
      </c>
      <c r="J75" s="2" t="n">
        <v>6.88</v>
      </c>
      <c r="K75" s="4" t="n">
        <v>22.431405</v>
      </c>
      <c r="L75" s="4" t="n">
        <v>114.029114</v>
      </c>
      <c r="M75" s="2" t="s">
        <v>76</v>
      </c>
      <c r="N75" s="8" t="s">
        <v>77</v>
      </c>
      <c r="O75" s="2" t="s">
        <v>358</v>
      </c>
      <c r="P75" s="6"/>
      <c r="Q75" s="6"/>
      <c r="R75" s="7" t="n">
        <f aca="false">IF(AND(ISNUMBER(P75),ISNUMBER(Q75)),P75,K75)</f>
        <v>22.431405</v>
      </c>
      <c r="S75" s="7" t="n">
        <f aca="false">IF(AND(ISNUMBER(P75),ISNUMBER(Q75)),Q75,L75)</f>
        <v>114.029114</v>
      </c>
      <c r="T75" s="4" t="n">
        <v>22.432044</v>
      </c>
      <c r="U75" s="4" t="n">
        <v>114.031454</v>
      </c>
    </row>
    <row r="76" customFormat="false" ht="15" hidden="false" customHeight="false" outlineLevel="0" collapsed="false">
      <c r="A76" s="2" t="s">
        <v>359</v>
      </c>
      <c r="B76" s="2" t="s">
        <v>360</v>
      </c>
      <c r="C76" s="3" t="s">
        <v>361</v>
      </c>
      <c r="D76" s="2" t="s">
        <v>135</v>
      </c>
      <c r="E76" s="2" t="s">
        <v>74</v>
      </c>
      <c r="F76" s="2" t="s">
        <v>357</v>
      </c>
      <c r="G76" s="4" t="n">
        <v>22.43162</v>
      </c>
      <c r="H76" s="4" t="n">
        <v>113.962122</v>
      </c>
      <c r="I76" s="2" t="n">
        <v>7.11</v>
      </c>
      <c r="J76" s="2" t="n">
        <v>6.88</v>
      </c>
      <c r="K76" s="4" t="n">
        <v>22.430182</v>
      </c>
      <c r="L76" s="4" t="n">
        <v>114.030514</v>
      </c>
      <c r="M76" s="2" t="s">
        <v>76</v>
      </c>
      <c r="N76" s="8" t="s">
        <v>77</v>
      </c>
      <c r="O76" s="2" t="s">
        <v>358</v>
      </c>
      <c r="P76" s="6"/>
      <c r="Q76" s="6"/>
      <c r="R76" s="7" t="n">
        <f aca="false">IF(AND(ISNUMBER(P76),ISNUMBER(Q76)),P76,K76)</f>
        <v>22.430182</v>
      </c>
      <c r="S76" s="7" t="n">
        <f aca="false">IF(AND(ISNUMBER(P76),ISNUMBER(Q76)),Q76,L76)</f>
        <v>114.030514</v>
      </c>
      <c r="T76" s="4" t="n">
        <v>22.432044</v>
      </c>
      <c r="U76" s="4" t="n">
        <v>114.031454</v>
      </c>
    </row>
    <row r="77" customFormat="false" ht="15" hidden="false" customHeight="false" outlineLevel="0" collapsed="false">
      <c r="A77" s="2" t="s">
        <v>362</v>
      </c>
      <c r="B77" s="2" t="s">
        <v>363</v>
      </c>
      <c r="C77" s="3" t="s">
        <v>364</v>
      </c>
      <c r="D77" s="2" t="s">
        <v>135</v>
      </c>
      <c r="E77" s="2" t="s">
        <v>74</v>
      </c>
      <c r="F77" s="2" t="s">
        <v>357</v>
      </c>
      <c r="G77" s="4" t="n">
        <v>22.43162</v>
      </c>
      <c r="H77" s="4" t="n">
        <v>113.962122</v>
      </c>
      <c r="I77" s="2" t="n">
        <v>7.11</v>
      </c>
      <c r="J77" s="2" t="n">
        <v>6.88</v>
      </c>
      <c r="K77" s="4" t="n">
        <v>22.432628</v>
      </c>
      <c r="L77" s="4" t="n">
        <v>114.032401</v>
      </c>
      <c r="M77" s="2" t="s">
        <v>76</v>
      </c>
      <c r="N77" s="8" t="s">
        <v>77</v>
      </c>
      <c r="O77" s="2" t="s">
        <v>358</v>
      </c>
      <c r="P77" s="6"/>
      <c r="Q77" s="6"/>
      <c r="R77" s="7" t="n">
        <f aca="false">IF(AND(ISNUMBER(P77),ISNUMBER(Q77)),P77,K77)</f>
        <v>22.432628</v>
      </c>
      <c r="S77" s="7" t="n">
        <f aca="false">IF(AND(ISNUMBER(P77),ISNUMBER(Q77)),Q77,L77)</f>
        <v>114.032401</v>
      </c>
      <c r="T77" s="4" t="n">
        <v>22.432044</v>
      </c>
      <c r="U77" s="4" t="n">
        <v>114.031454</v>
      </c>
    </row>
    <row r="78" customFormat="false" ht="15" hidden="false" customHeight="false" outlineLevel="0" collapsed="false">
      <c r="A78" s="2" t="s">
        <v>365</v>
      </c>
      <c r="B78" s="2" t="s">
        <v>366</v>
      </c>
      <c r="C78" s="3" t="s">
        <v>367</v>
      </c>
      <c r="D78" s="2" t="s">
        <v>135</v>
      </c>
      <c r="E78" s="2" t="s">
        <v>74</v>
      </c>
      <c r="F78" s="2" t="s">
        <v>357</v>
      </c>
      <c r="G78" s="4" t="n">
        <v>22.43162</v>
      </c>
      <c r="H78" s="4" t="n">
        <v>113.962122</v>
      </c>
      <c r="I78" s="2" t="n">
        <v>7.11</v>
      </c>
      <c r="J78" s="2" t="n">
        <v>6.88</v>
      </c>
      <c r="K78" s="4" t="n">
        <v>22.432262</v>
      </c>
      <c r="L78" s="4" t="n">
        <v>114.028935</v>
      </c>
      <c r="M78" s="2" t="s">
        <v>76</v>
      </c>
      <c r="N78" s="8" t="s">
        <v>77</v>
      </c>
      <c r="O78" s="2" t="s">
        <v>358</v>
      </c>
      <c r="P78" s="6"/>
      <c r="Q78" s="6"/>
      <c r="R78" s="7" t="n">
        <f aca="false">IF(AND(ISNUMBER(P78),ISNUMBER(Q78)),P78,K78)</f>
        <v>22.432262</v>
      </c>
      <c r="S78" s="7" t="n">
        <f aca="false">IF(AND(ISNUMBER(P78),ISNUMBER(Q78)),Q78,L78)</f>
        <v>114.028935</v>
      </c>
      <c r="T78" s="4" t="n">
        <v>22.432044</v>
      </c>
      <c r="U78" s="4" t="n">
        <v>114.031454</v>
      </c>
    </row>
    <row r="79" customFormat="false" ht="15" hidden="false" customHeight="false" outlineLevel="0" collapsed="false">
      <c r="A79" s="2" t="s">
        <v>368</v>
      </c>
      <c r="B79" s="2" t="s">
        <v>369</v>
      </c>
      <c r="C79" s="3" t="s">
        <v>370</v>
      </c>
      <c r="D79" s="2" t="s">
        <v>135</v>
      </c>
      <c r="E79" s="2" t="s">
        <v>74</v>
      </c>
      <c r="F79" s="2" t="s">
        <v>357</v>
      </c>
      <c r="G79" s="4" t="n">
        <v>22.43162</v>
      </c>
      <c r="H79" s="4" t="n">
        <v>113.962122</v>
      </c>
      <c r="I79" s="2" t="n">
        <v>7.11</v>
      </c>
      <c r="J79" s="2" t="n">
        <v>6.88</v>
      </c>
      <c r="K79" s="4" t="n">
        <v>22.432129</v>
      </c>
      <c r="L79" s="4" t="n">
        <v>114.031448</v>
      </c>
      <c r="M79" s="2" t="s">
        <v>76</v>
      </c>
      <c r="N79" s="8" t="s">
        <v>77</v>
      </c>
      <c r="O79" s="2" t="s">
        <v>358</v>
      </c>
      <c r="P79" s="6"/>
      <c r="Q79" s="6"/>
      <c r="R79" s="7" t="n">
        <f aca="false">IF(AND(ISNUMBER(P79),ISNUMBER(Q79)),P79,K79)</f>
        <v>22.432129</v>
      </c>
      <c r="S79" s="7" t="n">
        <f aca="false">IF(AND(ISNUMBER(P79),ISNUMBER(Q79)),Q79,L79)</f>
        <v>114.031448</v>
      </c>
      <c r="T79" s="4" t="n">
        <v>22.432044</v>
      </c>
      <c r="U79" s="4" t="n">
        <v>114.031454</v>
      </c>
    </row>
    <row r="80" customFormat="false" ht="15" hidden="false" customHeight="false" outlineLevel="0" collapsed="false">
      <c r="A80" s="2" t="s">
        <v>371</v>
      </c>
      <c r="B80" s="2" t="s">
        <v>372</v>
      </c>
      <c r="C80" s="3" t="s">
        <v>373</v>
      </c>
      <c r="D80" s="2" t="s">
        <v>135</v>
      </c>
      <c r="E80" s="2" t="s">
        <v>74</v>
      </c>
      <c r="F80" s="2" t="s">
        <v>357</v>
      </c>
      <c r="G80" s="4" t="n">
        <v>22.43162</v>
      </c>
      <c r="H80" s="4" t="n">
        <v>113.962122</v>
      </c>
      <c r="I80" s="2" t="n">
        <v>7.11</v>
      </c>
      <c r="J80" s="2" t="n">
        <v>6.88</v>
      </c>
      <c r="K80" s="4" t="n">
        <v>22.430335</v>
      </c>
      <c r="L80" s="4" t="n">
        <v>114.030151</v>
      </c>
      <c r="M80" s="2" t="s">
        <v>76</v>
      </c>
      <c r="N80" s="8" t="s">
        <v>77</v>
      </c>
      <c r="O80" s="2" t="s">
        <v>358</v>
      </c>
      <c r="P80" s="6"/>
      <c r="Q80" s="6"/>
      <c r="R80" s="7" t="n">
        <f aca="false">IF(AND(ISNUMBER(P80),ISNUMBER(Q80)),P80,K80)</f>
        <v>22.430335</v>
      </c>
      <c r="S80" s="7" t="n">
        <f aca="false">IF(AND(ISNUMBER(P80),ISNUMBER(Q80)),Q80,L80)</f>
        <v>114.030151</v>
      </c>
      <c r="T80" s="4" t="n">
        <v>22.432044</v>
      </c>
      <c r="U80" s="4" t="n">
        <v>114.031454</v>
      </c>
    </row>
    <row r="81" customFormat="false" ht="15" hidden="false" customHeight="false" outlineLevel="0" collapsed="false">
      <c r="A81" s="2" t="s">
        <v>374</v>
      </c>
      <c r="B81" s="2" t="s">
        <v>375</v>
      </c>
      <c r="C81" s="3" t="s">
        <v>376</v>
      </c>
      <c r="D81" s="2" t="s">
        <v>135</v>
      </c>
      <c r="E81" s="2" t="s">
        <v>74</v>
      </c>
      <c r="F81" s="2" t="s">
        <v>357</v>
      </c>
      <c r="G81" s="4" t="n">
        <v>22.43162</v>
      </c>
      <c r="H81" s="4" t="n">
        <v>113.962122</v>
      </c>
      <c r="I81" s="2" t="n">
        <v>7.11</v>
      </c>
      <c r="J81" s="2" t="n">
        <v>6.88</v>
      </c>
      <c r="K81" s="4" t="n">
        <v>22.431029</v>
      </c>
      <c r="L81" s="4" t="n">
        <v>114.0328</v>
      </c>
      <c r="M81" s="2" t="s">
        <v>76</v>
      </c>
      <c r="N81" s="8" t="s">
        <v>77</v>
      </c>
      <c r="O81" s="2" t="s">
        <v>358</v>
      </c>
      <c r="P81" s="6"/>
      <c r="Q81" s="6"/>
      <c r="R81" s="7" t="n">
        <f aca="false">IF(AND(ISNUMBER(P81),ISNUMBER(Q81)),P81,K81)</f>
        <v>22.431029</v>
      </c>
      <c r="S81" s="7" t="n">
        <f aca="false">IF(AND(ISNUMBER(P81),ISNUMBER(Q81)),Q81,L81)</f>
        <v>114.0328</v>
      </c>
      <c r="T81" s="4" t="n">
        <v>22.432044</v>
      </c>
      <c r="U81" s="4" t="n">
        <v>114.031454</v>
      </c>
    </row>
    <row r="82" customFormat="false" ht="15" hidden="false" customHeight="false" outlineLevel="0" collapsed="false">
      <c r="A82" s="2" t="s">
        <v>377</v>
      </c>
      <c r="B82" s="2" t="s">
        <v>378</v>
      </c>
      <c r="C82" s="3" t="s">
        <v>379</v>
      </c>
      <c r="D82" s="2" t="s">
        <v>135</v>
      </c>
      <c r="E82" s="2" t="s">
        <v>74</v>
      </c>
      <c r="F82" s="2" t="s">
        <v>357</v>
      </c>
      <c r="G82" s="4" t="n">
        <v>22.43162</v>
      </c>
      <c r="H82" s="4" t="n">
        <v>113.962122</v>
      </c>
      <c r="I82" s="2" t="n">
        <v>7.11</v>
      </c>
      <c r="J82" s="2" t="n">
        <v>6.88</v>
      </c>
      <c r="K82" s="4" t="n">
        <v>22.434612</v>
      </c>
      <c r="L82" s="4" t="n">
        <v>114.030832</v>
      </c>
      <c r="M82" s="2" t="s">
        <v>76</v>
      </c>
      <c r="N82" s="8" t="s">
        <v>77</v>
      </c>
      <c r="O82" s="2" t="s">
        <v>358</v>
      </c>
      <c r="P82" s="6"/>
      <c r="Q82" s="6"/>
      <c r="R82" s="7" t="n">
        <f aca="false">IF(AND(ISNUMBER(P82),ISNUMBER(Q82)),P82,K82)</f>
        <v>22.434612</v>
      </c>
      <c r="S82" s="7" t="n">
        <f aca="false">IF(AND(ISNUMBER(P82),ISNUMBER(Q82)),Q82,L82)</f>
        <v>114.030832</v>
      </c>
      <c r="T82" s="4" t="n">
        <v>22.432044</v>
      </c>
      <c r="U82" s="4" t="n">
        <v>114.031454</v>
      </c>
    </row>
    <row r="83" customFormat="false" ht="15" hidden="false" customHeight="false" outlineLevel="0" collapsed="false">
      <c r="A83" s="2" t="s">
        <v>380</v>
      </c>
      <c r="B83" s="2" t="s">
        <v>381</v>
      </c>
      <c r="C83" s="3" t="s">
        <v>382</v>
      </c>
      <c r="D83" s="2" t="s">
        <v>135</v>
      </c>
      <c r="E83" s="2" t="s">
        <v>74</v>
      </c>
      <c r="F83" s="2" t="s">
        <v>357</v>
      </c>
      <c r="G83" s="4" t="n">
        <v>22.43162</v>
      </c>
      <c r="H83" s="4" t="n">
        <v>113.962122</v>
      </c>
      <c r="I83" s="2" t="n">
        <v>7.11</v>
      </c>
      <c r="J83" s="2" t="n">
        <v>6.88</v>
      </c>
      <c r="K83" s="4" t="n">
        <v>22.432433</v>
      </c>
      <c r="L83" s="4" t="n">
        <v>114.032725</v>
      </c>
      <c r="M83" s="2" t="s">
        <v>76</v>
      </c>
      <c r="N83" s="8" t="s">
        <v>77</v>
      </c>
      <c r="O83" s="2" t="s">
        <v>358</v>
      </c>
      <c r="P83" s="6"/>
      <c r="Q83" s="6"/>
      <c r="R83" s="7" t="n">
        <f aca="false">IF(AND(ISNUMBER(P83),ISNUMBER(Q83)),P83,K83)</f>
        <v>22.432433</v>
      </c>
      <c r="S83" s="7" t="n">
        <f aca="false">IF(AND(ISNUMBER(P83),ISNUMBER(Q83)),Q83,L83)</f>
        <v>114.032725</v>
      </c>
      <c r="T83" s="4" t="n">
        <v>22.432044</v>
      </c>
      <c r="U83" s="4" t="n">
        <v>114.031454</v>
      </c>
    </row>
    <row r="84" customFormat="false" ht="15" hidden="false" customHeight="false" outlineLevel="0" collapsed="false">
      <c r="A84" s="2" t="s">
        <v>383</v>
      </c>
      <c r="B84" s="2" t="s">
        <v>384</v>
      </c>
      <c r="C84" s="3" t="s">
        <v>385</v>
      </c>
      <c r="D84" s="2" t="s">
        <v>135</v>
      </c>
      <c r="E84" s="2" t="s">
        <v>74</v>
      </c>
      <c r="F84" s="2" t="s">
        <v>357</v>
      </c>
      <c r="G84" s="4" t="n">
        <v>22.43162</v>
      </c>
      <c r="H84" s="4" t="n">
        <v>113.962122</v>
      </c>
      <c r="I84" s="2" t="n">
        <v>7.11</v>
      </c>
      <c r="J84" s="2" t="n">
        <v>6.88</v>
      </c>
      <c r="K84" s="4" t="n">
        <v>22.434416</v>
      </c>
      <c r="L84" s="4" t="n">
        <v>114.030284</v>
      </c>
      <c r="M84" s="2" t="s">
        <v>76</v>
      </c>
      <c r="N84" s="8" t="s">
        <v>77</v>
      </c>
      <c r="O84" s="2" t="s">
        <v>358</v>
      </c>
      <c r="P84" s="6"/>
      <c r="Q84" s="6"/>
      <c r="R84" s="7" t="n">
        <f aca="false">IF(AND(ISNUMBER(P84),ISNUMBER(Q84)),P84,K84)</f>
        <v>22.434416</v>
      </c>
      <c r="S84" s="7" t="n">
        <f aca="false">IF(AND(ISNUMBER(P84),ISNUMBER(Q84)),Q84,L84)</f>
        <v>114.030284</v>
      </c>
      <c r="T84" s="4" t="n">
        <v>22.432044</v>
      </c>
      <c r="U84" s="4" t="n">
        <v>114.031454</v>
      </c>
    </row>
    <row r="85" customFormat="false" ht="15" hidden="false" customHeight="false" outlineLevel="0" collapsed="false">
      <c r="A85" s="2" t="s">
        <v>386</v>
      </c>
      <c r="B85" s="2" t="s">
        <v>387</v>
      </c>
      <c r="C85" s="3" t="s">
        <v>388</v>
      </c>
      <c r="D85" s="2" t="s">
        <v>174</v>
      </c>
      <c r="E85" s="2" t="s">
        <v>74</v>
      </c>
      <c r="F85" s="2" t="s">
        <v>202</v>
      </c>
      <c r="G85" s="4" t="n">
        <v>22.499804</v>
      </c>
      <c r="H85" s="4" t="n">
        <v>114.072979</v>
      </c>
      <c r="I85" s="2" t="n">
        <v>6.96</v>
      </c>
      <c r="J85" s="2" t="n">
        <v>2</v>
      </c>
      <c r="K85" s="4" t="n">
        <v>22.499805</v>
      </c>
      <c r="L85" s="4" t="n">
        <v>114.138343</v>
      </c>
      <c r="M85" s="2" t="s">
        <v>76</v>
      </c>
      <c r="N85" s="8" t="s">
        <v>77</v>
      </c>
      <c r="O85" s="2" t="s">
        <v>203</v>
      </c>
      <c r="P85" s="6"/>
      <c r="Q85" s="6"/>
      <c r="R85" s="7" t="n">
        <f aca="false">IF(AND(ISNUMBER(P85),ISNUMBER(Q85)),P85,K85)</f>
        <v>22.499805</v>
      </c>
      <c r="S85" s="7" t="n">
        <f aca="false">IF(AND(ISNUMBER(P85),ISNUMBER(Q85)),Q85,L85)</f>
        <v>114.138343</v>
      </c>
      <c r="T85" s="4" t="n">
        <v>22.499007</v>
      </c>
      <c r="U85" s="4" t="n">
        <v>114.140831</v>
      </c>
    </row>
    <row r="86" customFormat="false" ht="15" hidden="false" customHeight="false" outlineLevel="0" collapsed="false">
      <c r="A86" s="2" t="s">
        <v>389</v>
      </c>
      <c r="B86" s="2" t="s">
        <v>390</v>
      </c>
      <c r="C86" s="3" t="s">
        <v>391</v>
      </c>
      <c r="D86" s="2" t="s">
        <v>174</v>
      </c>
      <c r="E86" s="2" t="s">
        <v>74</v>
      </c>
      <c r="F86" s="2" t="s">
        <v>202</v>
      </c>
      <c r="G86" s="4" t="n">
        <v>22.498911</v>
      </c>
      <c r="H86" s="4" t="n">
        <v>114.073361</v>
      </c>
      <c r="I86" s="2" t="n">
        <v>6.92</v>
      </c>
      <c r="J86" s="2" t="n">
        <v>2</v>
      </c>
      <c r="K86" s="4" t="n">
        <v>22.498459</v>
      </c>
      <c r="L86" s="4" t="n">
        <v>114.142311</v>
      </c>
      <c r="M86" s="2" t="s">
        <v>76</v>
      </c>
      <c r="N86" s="8" t="s">
        <v>77</v>
      </c>
      <c r="O86" s="2" t="s">
        <v>203</v>
      </c>
      <c r="P86" s="6"/>
      <c r="Q86" s="6"/>
      <c r="R86" s="7" t="n">
        <f aca="false">IF(AND(ISNUMBER(P86),ISNUMBER(Q86)),P86,K86)</f>
        <v>22.498459</v>
      </c>
      <c r="S86" s="7" t="n">
        <f aca="false">IF(AND(ISNUMBER(P86),ISNUMBER(Q86)),Q86,L86)</f>
        <v>114.142311</v>
      </c>
      <c r="T86" s="4" t="n">
        <v>22.499007</v>
      </c>
      <c r="U86" s="4" t="n">
        <v>114.140831</v>
      </c>
    </row>
    <row r="87" customFormat="false" ht="15" hidden="false" customHeight="false" outlineLevel="0" collapsed="false">
      <c r="A87" s="2" t="s">
        <v>392</v>
      </c>
      <c r="B87" s="2" t="s">
        <v>393</v>
      </c>
      <c r="C87" s="2" t="s">
        <v>393</v>
      </c>
      <c r="D87" s="2" t="s">
        <v>237</v>
      </c>
      <c r="E87" s="2" t="s">
        <v>238</v>
      </c>
      <c r="F87" s="2" t="s">
        <v>394</v>
      </c>
      <c r="G87" s="4" t="n">
        <v>22.370927</v>
      </c>
      <c r="H87" s="4" t="n">
        <v>114.114902</v>
      </c>
      <c r="I87" s="2" t="n">
        <v>6.48</v>
      </c>
      <c r="J87" s="2" t="n">
        <v>2</v>
      </c>
      <c r="K87" s="4" t="n">
        <v>22.361509</v>
      </c>
      <c r="L87" s="4" t="n">
        <v>114.05315</v>
      </c>
      <c r="M87" s="2" t="s">
        <v>76</v>
      </c>
      <c r="N87" s="8" t="s">
        <v>77</v>
      </c>
      <c r="O87" s="2" t="s">
        <v>395</v>
      </c>
      <c r="P87" s="6"/>
      <c r="Q87" s="6"/>
      <c r="R87" s="7" t="n">
        <f aca="false">IF(AND(ISNUMBER(P87),ISNUMBER(Q87)),P87,K87)</f>
        <v>22.361509</v>
      </c>
      <c r="S87" s="7" t="n">
        <f aca="false">IF(AND(ISNUMBER(P87),ISNUMBER(Q87)),Q87,L87)</f>
        <v>114.05315</v>
      </c>
      <c r="T87" s="4" t="n">
        <v>22.363151</v>
      </c>
      <c r="U87" s="4" t="n">
        <v>114.052389</v>
      </c>
    </row>
    <row r="88" customFormat="false" ht="15" hidden="false" customHeight="false" outlineLevel="0" collapsed="false">
      <c r="A88" s="2" t="s">
        <v>396</v>
      </c>
      <c r="B88" s="2" t="s">
        <v>397</v>
      </c>
      <c r="C88" s="3" t="s">
        <v>398</v>
      </c>
      <c r="D88" s="2" t="s">
        <v>135</v>
      </c>
      <c r="E88" s="2" t="s">
        <v>74</v>
      </c>
      <c r="F88" s="2" t="s">
        <v>399</v>
      </c>
      <c r="G88" s="4" t="n">
        <v>22.452526</v>
      </c>
      <c r="H88" s="4" t="n">
        <v>113.976469</v>
      </c>
      <c r="I88" s="2" t="n">
        <v>6.39</v>
      </c>
      <c r="J88" s="2" t="n">
        <v>4.72</v>
      </c>
      <c r="K88" s="4" t="n">
        <v>22.423088</v>
      </c>
      <c r="L88" s="4" t="n">
        <v>114.031977</v>
      </c>
      <c r="M88" s="2" t="s">
        <v>76</v>
      </c>
      <c r="N88" s="8" t="s">
        <v>77</v>
      </c>
      <c r="O88" s="2" t="s">
        <v>400</v>
      </c>
      <c r="P88" s="6"/>
      <c r="Q88" s="6"/>
      <c r="R88" s="7" t="n">
        <f aca="false">IF(AND(ISNUMBER(P88),ISNUMBER(Q88)),P88,K88)</f>
        <v>22.423088</v>
      </c>
      <c r="S88" s="7" t="n">
        <f aca="false">IF(AND(ISNUMBER(P88),ISNUMBER(Q88)),Q88,L88)</f>
        <v>114.031977</v>
      </c>
      <c r="T88" s="4" t="n">
        <v>22.424278</v>
      </c>
      <c r="U88" s="4" t="n">
        <v>114.030721</v>
      </c>
    </row>
    <row r="89" customFormat="false" ht="15" hidden="false" customHeight="false" outlineLevel="0" collapsed="false">
      <c r="A89" s="2" t="s">
        <v>401</v>
      </c>
      <c r="B89" s="2" t="s">
        <v>402</v>
      </c>
      <c r="C89" s="3" t="s">
        <v>403</v>
      </c>
      <c r="D89" s="2" t="s">
        <v>135</v>
      </c>
      <c r="E89" s="2" t="s">
        <v>74</v>
      </c>
      <c r="F89" s="2" t="s">
        <v>399</v>
      </c>
      <c r="G89" s="4" t="n">
        <v>22.452526</v>
      </c>
      <c r="H89" s="4" t="n">
        <v>113.976469</v>
      </c>
      <c r="I89" s="2" t="n">
        <v>6.39</v>
      </c>
      <c r="J89" s="2" t="n">
        <v>4.72</v>
      </c>
      <c r="K89" s="4" t="n">
        <v>22.426323</v>
      </c>
      <c r="L89" s="4" t="n">
        <v>114.02904</v>
      </c>
      <c r="M89" s="2" t="s">
        <v>76</v>
      </c>
      <c r="N89" s="8" t="s">
        <v>77</v>
      </c>
      <c r="O89" s="2" t="s">
        <v>400</v>
      </c>
      <c r="P89" s="6"/>
      <c r="Q89" s="6"/>
      <c r="R89" s="7" t="n">
        <f aca="false">IF(AND(ISNUMBER(P89),ISNUMBER(Q89)),P89,K89)</f>
        <v>22.426323</v>
      </c>
      <c r="S89" s="7" t="n">
        <f aca="false">IF(AND(ISNUMBER(P89),ISNUMBER(Q89)),Q89,L89)</f>
        <v>114.02904</v>
      </c>
      <c r="T89" s="4" t="n">
        <v>22.424278</v>
      </c>
      <c r="U89" s="4" t="n">
        <v>114.030721</v>
      </c>
    </row>
    <row r="90" customFormat="false" ht="15" hidden="false" customHeight="false" outlineLevel="0" collapsed="false">
      <c r="A90" s="2" t="s">
        <v>404</v>
      </c>
      <c r="B90" s="2" t="s">
        <v>405</v>
      </c>
      <c r="C90" s="3" t="s">
        <v>406</v>
      </c>
      <c r="D90" s="2" t="s">
        <v>135</v>
      </c>
      <c r="E90" s="2" t="s">
        <v>74</v>
      </c>
      <c r="F90" s="2" t="s">
        <v>399</v>
      </c>
      <c r="G90" s="4" t="n">
        <v>22.452526</v>
      </c>
      <c r="H90" s="4" t="n">
        <v>113.976469</v>
      </c>
      <c r="I90" s="2" t="n">
        <v>6.39</v>
      </c>
      <c r="J90" s="2" t="n">
        <v>4.72</v>
      </c>
      <c r="K90" s="4" t="n">
        <v>22.423221</v>
      </c>
      <c r="L90" s="4" t="n">
        <v>114.028651</v>
      </c>
      <c r="M90" s="2" t="s">
        <v>76</v>
      </c>
      <c r="N90" s="8" t="s">
        <v>77</v>
      </c>
      <c r="O90" s="2" t="s">
        <v>400</v>
      </c>
      <c r="P90" s="6"/>
      <c r="Q90" s="6"/>
      <c r="R90" s="7" t="n">
        <f aca="false">IF(AND(ISNUMBER(P90),ISNUMBER(Q90)),P90,K90)</f>
        <v>22.423221</v>
      </c>
      <c r="S90" s="7" t="n">
        <f aca="false">IF(AND(ISNUMBER(P90),ISNUMBER(Q90)),Q90,L90)</f>
        <v>114.028651</v>
      </c>
      <c r="T90" s="4" t="n">
        <v>22.424278</v>
      </c>
      <c r="U90" s="4" t="n">
        <v>114.030721</v>
      </c>
    </row>
    <row r="91" customFormat="false" ht="15" hidden="false" customHeight="false" outlineLevel="0" collapsed="false">
      <c r="A91" s="2" t="s">
        <v>407</v>
      </c>
      <c r="B91" s="2" t="s">
        <v>408</v>
      </c>
      <c r="C91" s="3" t="s">
        <v>409</v>
      </c>
      <c r="D91" s="2" t="s">
        <v>135</v>
      </c>
      <c r="E91" s="2" t="s">
        <v>74</v>
      </c>
      <c r="F91" s="2" t="s">
        <v>399</v>
      </c>
      <c r="G91" s="4" t="n">
        <v>22.452526</v>
      </c>
      <c r="H91" s="4" t="n">
        <v>113.976469</v>
      </c>
      <c r="I91" s="2" t="n">
        <v>6.39</v>
      </c>
      <c r="J91" s="2" t="n">
        <v>4.72</v>
      </c>
      <c r="K91" s="4" t="n">
        <v>22.424885</v>
      </c>
      <c r="L91" s="4" t="n">
        <v>114.030999</v>
      </c>
      <c r="M91" s="2" t="s">
        <v>76</v>
      </c>
      <c r="N91" s="8" t="s">
        <v>77</v>
      </c>
      <c r="O91" s="2" t="s">
        <v>400</v>
      </c>
      <c r="P91" s="6"/>
      <c r="Q91" s="6"/>
      <c r="R91" s="7" t="n">
        <f aca="false">IF(AND(ISNUMBER(P91),ISNUMBER(Q91)),P91,K91)</f>
        <v>22.424885</v>
      </c>
      <c r="S91" s="7" t="n">
        <f aca="false">IF(AND(ISNUMBER(P91),ISNUMBER(Q91)),Q91,L91)</f>
        <v>114.030999</v>
      </c>
      <c r="T91" s="4" t="n">
        <v>22.424278</v>
      </c>
      <c r="U91" s="4" t="n">
        <v>114.030721</v>
      </c>
    </row>
    <row r="92" customFormat="false" ht="15" hidden="false" customHeight="false" outlineLevel="0" collapsed="false">
      <c r="A92" s="2" t="s">
        <v>410</v>
      </c>
      <c r="B92" s="2" t="s">
        <v>411</v>
      </c>
      <c r="C92" s="3" t="s">
        <v>412</v>
      </c>
      <c r="D92" s="2" t="s">
        <v>135</v>
      </c>
      <c r="E92" s="2" t="s">
        <v>74</v>
      </c>
      <c r="F92" s="2" t="s">
        <v>399</v>
      </c>
      <c r="G92" s="4" t="n">
        <v>22.452526</v>
      </c>
      <c r="H92" s="4" t="n">
        <v>113.976469</v>
      </c>
      <c r="I92" s="2" t="n">
        <v>6.39</v>
      </c>
      <c r="J92" s="2" t="n">
        <v>4.72</v>
      </c>
      <c r="K92" s="4" t="n">
        <v>22.422345</v>
      </c>
      <c r="L92" s="4" t="n">
        <v>114.030514</v>
      </c>
      <c r="M92" s="2" t="s">
        <v>76</v>
      </c>
      <c r="N92" s="8" t="s">
        <v>77</v>
      </c>
      <c r="O92" s="2" t="s">
        <v>400</v>
      </c>
      <c r="P92" s="6"/>
      <c r="Q92" s="6"/>
      <c r="R92" s="7" t="n">
        <f aca="false">IF(AND(ISNUMBER(P92),ISNUMBER(Q92)),P92,K92)</f>
        <v>22.422345</v>
      </c>
      <c r="S92" s="7" t="n">
        <f aca="false">IF(AND(ISNUMBER(P92),ISNUMBER(Q92)),Q92,L92)</f>
        <v>114.030514</v>
      </c>
      <c r="T92" s="4" t="n">
        <v>22.424278</v>
      </c>
      <c r="U92" s="4" t="n">
        <v>114.030721</v>
      </c>
    </row>
    <row r="93" customFormat="false" ht="15" hidden="false" customHeight="false" outlineLevel="0" collapsed="false">
      <c r="A93" s="2" t="s">
        <v>413</v>
      </c>
      <c r="B93" s="2" t="s">
        <v>414</v>
      </c>
      <c r="C93" s="3" t="s">
        <v>415</v>
      </c>
      <c r="D93" s="2" t="s">
        <v>135</v>
      </c>
      <c r="E93" s="2" t="s">
        <v>74</v>
      </c>
      <c r="F93" s="2" t="s">
        <v>399</v>
      </c>
      <c r="G93" s="4" t="n">
        <v>22.452526</v>
      </c>
      <c r="H93" s="4" t="n">
        <v>113.976469</v>
      </c>
      <c r="I93" s="2" t="n">
        <v>6.39</v>
      </c>
      <c r="J93" s="2" t="n">
        <v>4.72</v>
      </c>
      <c r="K93" s="4" t="n">
        <v>22.426459</v>
      </c>
      <c r="L93" s="4" t="n">
        <v>114.029217</v>
      </c>
      <c r="M93" s="2" t="s">
        <v>76</v>
      </c>
      <c r="N93" s="8" t="s">
        <v>77</v>
      </c>
      <c r="O93" s="2" t="s">
        <v>400</v>
      </c>
      <c r="P93" s="6"/>
      <c r="Q93" s="6"/>
      <c r="R93" s="7" t="n">
        <f aca="false">IF(AND(ISNUMBER(P93),ISNUMBER(Q93)),P93,K93)</f>
        <v>22.426459</v>
      </c>
      <c r="S93" s="7" t="n">
        <f aca="false">IF(AND(ISNUMBER(P93),ISNUMBER(Q93)),Q93,L93)</f>
        <v>114.029217</v>
      </c>
      <c r="T93" s="4" t="n">
        <v>22.424278</v>
      </c>
      <c r="U93" s="4" t="n">
        <v>114.030721</v>
      </c>
    </row>
    <row r="94" customFormat="false" ht="15" hidden="false" customHeight="false" outlineLevel="0" collapsed="false">
      <c r="A94" s="2" t="s">
        <v>416</v>
      </c>
      <c r="B94" s="2" t="s">
        <v>417</v>
      </c>
      <c r="C94" s="3" t="s">
        <v>418</v>
      </c>
      <c r="D94" s="2" t="s">
        <v>135</v>
      </c>
      <c r="E94" s="2" t="s">
        <v>74</v>
      </c>
      <c r="F94" s="2" t="s">
        <v>399</v>
      </c>
      <c r="G94" s="4" t="n">
        <v>22.452526</v>
      </c>
      <c r="H94" s="4" t="n">
        <v>113.976469</v>
      </c>
      <c r="I94" s="2" t="n">
        <v>6.39</v>
      </c>
      <c r="J94" s="2" t="n">
        <v>4.72</v>
      </c>
      <c r="K94" s="4" t="n">
        <v>22.423408</v>
      </c>
      <c r="L94" s="4" t="n">
        <v>114.028505</v>
      </c>
      <c r="M94" s="2" t="s">
        <v>76</v>
      </c>
      <c r="N94" s="8" t="s">
        <v>77</v>
      </c>
      <c r="O94" s="2" t="s">
        <v>400</v>
      </c>
      <c r="P94" s="6"/>
      <c r="Q94" s="6"/>
      <c r="R94" s="7" t="n">
        <f aca="false">IF(AND(ISNUMBER(P94),ISNUMBER(Q94)),P94,K94)</f>
        <v>22.423408</v>
      </c>
      <c r="S94" s="7" t="n">
        <f aca="false">IF(AND(ISNUMBER(P94),ISNUMBER(Q94)),Q94,L94)</f>
        <v>114.028505</v>
      </c>
      <c r="T94" s="4" t="n">
        <v>22.424278</v>
      </c>
      <c r="U94" s="4" t="n">
        <v>114.030721</v>
      </c>
    </row>
    <row r="95" customFormat="false" ht="15" hidden="false" customHeight="false" outlineLevel="0" collapsed="false">
      <c r="A95" s="2" t="s">
        <v>419</v>
      </c>
      <c r="B95" s="2" t="s">
        <v>420</v>
      </c>
      <c r="C95" s="3" t="s">
        <v>421</v>
      </c>
      <c r="D95" s="2" t="s">
        <v>135</v>
      </c>
      <c r="E95" s="2" t="s">
        <v>74</v>
      </c>
      <c r="F95" s="2" t="s">
        <v>399</v>
      </c>
      <c r="G95" s="4" t="n">
        <v>22.452526</v>
      </c>
      <c r="H95" s="4" t="n">
        <v>113.976469</v>
      </c>
      <c r="I95" s="2" t="n">
        <v>6.39</v>
      </c>
      <c r="J95" s="2" t="n">
        <v>4.72</v>
      </c>
      <c r="K95" s="4" t="n">
        <v>22.423905</v>
      </c>
      <c r="L95" s="4" t="n">
        <v>114.032211</v>
      </c>
      <c r="M95" s="2" t="s">
        <v>76</v>
      </c>
      <c r="N95" s="8" t="s">
        <v>77</v>
      </c>
      <c r="O95" s="2" t="s">
        <v>400</v>
      </c>
      <c r="P95" s="6"/>
      <c r="Q95" s="6"/>
      <c r="R95" s="7" t="n">
        <f aca="false">IF(AND(ISNUMBER(P95),ISNUMBER(Q95)),P95,K95)</f>
        <v>22.423905</v>
      </c>
      <c r="S95" s="7" t="n">
        <f aca="false">IF(AND(ISNUMBER(P95),ISNUMBER(Q95)),Q95,L95)</f>
        <v>114.032211</v>
      </c>
      <c r="T95" s="4" t="n">
        <v>22.424278</v>
      </c>
      <c r="U95" s="4" t="n">
        <v>114.030721</v>
      </c>
    </row>
    <row r="96" customFormat="false" ht="15" hidden="false" customHeight="false" outlineLevel="0" collapsed="false">
      <c r="A96" s="2" t="s">
        <v>422</v>
      </c>
      <c r="B96" s="2" t="s">
        <v>423</v>
      </c>
      <c r="C96" s="3" t="s">
        <v>424</v>
      </c>
      <c r="D96" s="2" t="s">
        <v>135</v>
      </c>
      <c r="E96" s="2" t="s">
        <v>74</v>
      </c>
      <c r="F96" s="2" t="s">
        <v>399</v>
      </c>
      <c r="G96" s="4" t="n">
        <v>22.452526</v>
      </c>
      <c r="H96" s="4" t="n">
        <v>113.976469</v>
      </c>
      <c r="I96" s="2" t="n">
        <v>6.39</v>
      </c>
      <c r="J96" s="2" t="n">
        <v>4.72</v>
      </c>
      <c r="K96" s="4" t="n">
        <v>22.422328</v>
      </c>
      <c r="L96" s="4" t="n">
        <v>114.03037</v>
      </c>
      <c r="M96" s="2" t="s">
        <v>76</v>
      </c>
      <c r="N96" s="8" t="s">
        <v>77</v>
      </c>
      <c r="O96" s="2" t="s">
        <v>400</v>
      </c>
      <c r="P96" s="6"/>
      <c r="Q96" s="6"/>
      <c r="R96" s="7" t="n">
        <f aca="false">IF(AND(ISNUMBER(P96),ISNUMBER(Q96)),P96,K96)</f>
        <v>22.422328</v>
      </c>
      <c r="S96" s="7" t="n">
        <f aca="false">IF(AND(ISNUMBER(P96),ISNUMBER(Q96)),Q96,L96)</f>
        <v>114.03037</v>
      </c>
      <c r="T96" s="4" t="n">
        <v>22.424278</v>
      </c>
      <c r="U96" s="4" t="n">
        <v>114.030721</v>
      </c>
    </row>
    <row r="97" customFormat="false" ht="15" hidden="false" customHeight="false" outlineLevel="0" collapsed="false">
      <c r="A97" s="2" t="s">
        <v>425</v>
      </c>
      <c r="B97" s="2" t="s">
        <v>426</v>
      </c>
      <c r="C97" s="3" t="s">
        <v>427</v>
      </c>
      <c r="D97" s="2" t="s">
        <v>135</v>
      </c>
      <c r="E97" s="2" t="s">
        <v>74</v>
      </c>
      <c r="F97" s="2" t="s">
        <v>399</v>
      </c>
      <c r="G97" s="4" t="n">
        <v>22.452526</v>
      </c>
      <c r="H97" s="4" t="n">
        <v>113.976469</v>
      </c>
      <c r="I97" s="2" t="n">
        <v>6.39</v>
      </c>
      <c r="J97" s="2" t="n">
        <v>4.72</v>
      </c>
      <c r="K97" s="4" t="n">
        <v>22.4242</v>
      </c>
      <c r="L97" s="4" t="n">
        <v>114.032214</v>
      </c>
      <c r="M97" s="2" t="s">
        <v>76</v>
      </c>
      <c r="N97" s="8" t="s">
        <v>77</v>
      </c>
      <c r="O97" s="2" t="s">
        <v>400</v>
      </c>
      <c r="P97" s="6"/>
      <c r="Q97" s="6"/>
      <c r="R97" s="7" t="n">
        <f aca="false">IF(AND(ISNUMBER(P97),ISNUMBER(Q97)),P97,K97)</f>
        <v>22.4242</v>
      </c>
      <c r="S97" s="7" t="n">
        <f aca="false">IF(AND(ISNUMBER(P97),ISNUMBER(Q97)),Q97,L97)</f>
        <v>114.032214</v>
      </c>
      <c r="T97" s="4" t="n">
        <v>22.424278</v>
      </c>
      <c r="U97" s="4" t="n">
        <v>114.030721</v>
      </c>
    </row>
    <row r="98" customFormat="false" ht="15" hidden="false" customHeight="false" outlineLevel="0" collapsed="false">
      <c r="A98" s="2" t="s">
        <v>428</v>
      </c>
      <c r="B98" s="2" t="s">
        <v>429</v>
      </c>
      <c r="C98" s="3" t="s">
        <v>430</v>
      </c>
      <c r="D98" s="2" t="s">
        <v>135</v>
      </c>
      <c r="E98" s="2" t="s">
        <v>74</v>
      </c>
      <c r="F98" s="2" t="s">
        <v>399</v>
      </c>
      <c r="G98" s="4" t="n">
        <v>22.452526</v>
      </c>
      <c r="H98" s="4" t="n">
        <v>113.976469</v>
      </c>
      <c r="I98" s="2" t="n">
        <v>6.39</v>
      </c>
      <c r="J98" s="2" t="n">
        <v>4.72</v>
      </c>
      <c r="K98" s="4" t="n">
        <v>22.422422</v>
      </c>
      <c r="L98" s="4" t="n">
        <v>114.03093</v>
      </c>
      <c r="M98" s="2" t="s">
        <v>76</v>
      </c>
      <c r="N98" s="8" t="s">
        <v>77</v>
      </c>
      <c r="O98" s="2" t="s">
        <v>400</v>
      </c>
      <c r="P98" s="6"/>
      <c r="Q98" s="6"/>
      <c r="R98" s="7" t="n">
        <f aca="false">IF(AND(ISNUMBER(P98),ISNUMBER(Q98)),P98,K98)</f>
        <v>22.422422</v>
      </c>
      <c r="S98" s="7" t="n">
        <f aca="false">IF(AND(ISNUMBER(P98),ISNUMBER(Q98)),Q98,L98)</f>
        <v>114.03093</v>
      </c>
      <c r="T98" s="4" t="n">
        <v>22.424278</v>
      </c>
      <c r="U98" s="4" t="n">
        <v>114.030721</v>
      </c>
    </row>
    <row r="99" customFormat="false" ht="15" hidden="false" customHeight="false" outlineLevel="0" collapsed="false">
      <c r="A99" s="2" t="s">
        <v>431</v>
      </c>
      <c r="B99" s="2" t="s">
        <v>432</v>
      </c>
      <c r="C99" s="3" t="s">
        <v>433</v>
      </c>
      <c r="D99" s="2" t="s">
        <v>135</v>
      </c>
      <c r="E99" s="2" t="s">
        <v>74</v>
      </c>
      <c r="F99" s="2" t="s">
        <v>399</v>
      </c>
      <c r="G99" s="4" t="n">
        <v>22.452526</v>
      </c>
      <c r="H99" s="4" t="n">
        <v>113.976469</v>
      </c>
      <c r="I99" s="2" t="n">
        <v>6.39</v>
      </c>
      <c r="J99" s="2" t="n">
        <v>4.72</v>
      </c>
      <c r="K99" s="4" t="n">
        <v>22.424917</v>
      </c>
      <c r="L99" s="4" t="n">
        <v>114.031172</v>
      </c>
      <c r="M99" s="2" t="s">
        <v>76</v>
      </c>
      <c r="N99" s="8" t="s">
        <v>77</v>
      </c>
      <c r="O99" s="2" t="s">
        <v>400</v>
      </c>
      <c r="P99" s="6"/>
      <c r="Q99" s="6"/>
      <c r="R99" s="7" t="n">
        <f aca="false">IF(AND(ISNUMBER(P99),ISNUMBER(Q99)),P99,K99)</f>
        <v>22.424917</v>
      </c>
      <c r="S99" s="7" t="n">
        <f aca="false">IF(AND(ISNUMBER(P99),ISNUMBER(Q99)),Q99,L99)</f>
        <v>114.031172</v>
      </c>
      <c r="T99" s="4" t="n">
        <v>22.424278</v>
      </c>
      <c r="U99" s="4" t="n">
        <v>114.030721</v>
      </c>
    </row>
    <row r="100" customFormat="false" ht="15" hidden="false" customHeight="false" outlineLevel="0" collapsed="false">
      <c r="A100" s="2" t="s">
        <v>434</v>
      </c>
      <c r="B100" s="2" t="s">
        <v>435</v>
      </c>
      <c r="C100" s="3" t="s">
        <v>436</v>
      </c>
      <c r="D100" s="2" t="s">
        <v>135</v>
      </c>
      <c r="E100" s="2" t="s">
        <v>74</v>
      </c>
      <c r="F100" s="2" t="s">
        <v>399</v>
      </c>
      <c r="G100" s="4" t="n">
        <v>22.452526</v>
      </c>
      <c r="H100" s="4" t="n">
        <v>113.976469</v>
      </c>
      <c r="I100" s="2" t="n">
        <v>6.39</v>
      </c>
      <c r="J100" s="2" t="n">
        <v>4.72</v>
      </c>
      <c r="K100" s="4" t="n">
        <v>22.423652</v>
      </c>
      <c r="L100" s="4" t="n">
        <v>114.032248</v>
      </c>
      <c r="M100" s="2" t="s">
        <v>76</v>
      </c>
      <c r="N100" s="8" t="s">
        <v>77</v>
      </c>
      <c r="O100" s="2" t="s">
        <v>400</v>
      </c>
      <c r="P100" s="6"/>
      <c r="Q100" s="6"/>
      <c r="R100" s="7" t="n">
        <f aca="false">IF(AND(ISNUMBER(P100),ISNUMBER(Q100)),P100,K100)</f>
        <v>22.423652</v>
      </c>
      <c r="S100" s="7" t="n">
        <f aca="false">IF(AND(ISNUMBER(P100),ISNUMBER(Q100)),Q100,L100)</f>
        <v>114.032248</v>
      </c>
      <c r="T100" s="4" t="n">
        <v>22.424278</v>
      </c>
      <c r="U100" s="4" t="n">
        <v>114.030721</v>
      </c>
    </row>
    <row r="101" customFormat="false" ht="15" hidden="false" customHeight="false" outlineLevel="0" collapsed="false">
      <c r="A101" s="2" t="s">
        <v>437</v>
      </c>
      <c r="B101" s="2" t="s">
        <v>438</v>
      </c>
      <c r="C101" s="3" t="s">
        <v>439</v>
      </c>
      <c r="D101" s="2" t="s">
        <v>291</v>
      </c>
      <c r="E101" s="2" t="s">
        <v>292</v>
      </c>
      <c r="F101" s="2" t="s">
        <v>310</v>
      </c>
      <c r="G101" s="4" t="n">
        <v>22.377374</v>
      </c>
      <c r="H101" s="4" t="n">
        <v>114.273953</v>
      </c>
      <c r="I101" s="2" t="n">
        <v>6.27</v>
      </c>
      <c r="J101" s="2" t="n">
        <v>2.86</v>
      </c>
      <c r="K101" s="4" t="n">
        <v>22.319075</v>
      </c>
      <c r="L101" s="4" t="n">
        <v>114.273749</v>
      </c>
      <c r="M101" s="2" t="s">
        <v>76</v>
      </c>
      <c r="N101" s="8" t="s">
        <v>77</v>
      </c>
      <c r="O101" s="2" t="s">
        <v>311</v>
      </c>
      <c r="P101" s="6"/>
      <c r="Q101" s="6"/>
      <c r="R101" s="7" t="n">
        <f aca="false">IF(AND(ISNUMBER(P101),ISNUMBER(Q101)),P101,K101)</f>
        <v>22.319075</v>
      </c>
      <c r="S101" s="7" t="n">
        <f aca="false">IF(AND(ISNUMBER(P101),ISNUMBER(Q101)),Q101,L101)</f>
        <v>114.273749</v>
      </c>
      <c r="T101" s="4" t="n">
        <v>22.320864</v>
      </c>
      <c r="U101" s="4" t="n">
        <v>114.27328</v>
      </c>
    </row>
    <row r="102" customFormat="false" ht="15" hidden="false" customHeight="false" outlineLevel="0" collapsed="false">
      <c r="A102" s="2" t="s">
        <v>440</v>
      </c>
      <c r="B102" s="2" t="s">
        <v>441</v>
      </c>
      <c r="C102" s="3" t="s">
        <v>442</v>
      </c>
      <c r="D102" s="2" t="s">
        <v>443</v>
      </c>
      <c r="E102" s="2" t="s">
        <v>49</v>
      </c>
      <c r="F102" s="2" t="s">
        <v>444</v>
      </c>
      <c r="G102" s="4" t="n">
        <v>22.384153</v>
      </c>
      <c r="H102" s="4" t="n">
        <v>113.974073</v>
      </c>
      <c r="I102" s="2" t="n">
        <v>6.24</v>
      </c>
      <c r="J102" s="2" t="n">
        <v>2</v>
      </c>
      <c r="K102" s="4" t="n">
        <v>22.433015</v>
      </c>
      <c r="L102" s="4" t="n">
        <v>114.001292</v>
      </c>
      <c r="M102" s="2" t="s">
        <v>76</v>
      </c>
      <c r="N102" s="8" t="s">
        <v>77</v>
      </c>
      <c r="O102" s="2" t="s">
        <v>445</v>
      </c>
      <c r="P102" s="6"/>
      <c r="Q102" s="6"/>
      <c r="R102" s="7" t="n">
        <f aca="false">IF(AND(ISNUMBER(P102),ISNUMBER(Q102)),P102,K102)</f>
        <v>22.433015</v>
      </c>
      <c r="S102" s="7" t="n">
        <f aca="false">IF(AND(ISNUMBER(P102),ISNUMBER(Q102)),Q102,L102)</f>
        <v>114.001292</v>
      </c>
      <c r="T102" s="4" t="n">
        <v>22.434811</v>
      </c>
      <c r="U102" s="4" t="n">
        <v>114.000842</v>
      </c>
    </row>
    <row r="103" customFormat="false" ht="15" hidden="false" customHeight="false" outlineLevel="0" collapsed="false">
      <c r="A103" s="2" t="s">
        <v>446</v>
      </c>
      <c r="B103" s="2" t="s">
        <v>447</v>
      </c>
      <c r="C103" s="3" t="s">
        <v>448</v>
      </c>
      <c r="D103" s="2" t="s">
        <v>449</v>
      </c>
      <c r="E103" s="2" t="s">
        <v>110</v>
      </c>
      <c r="F103" s="2" t="s">
        <v>450</v>
      </c>
      <c r="G103" s="4" t="n">
        <v>22.295628</v>
      </c>
      <c r="H103" s="4" t="n">
        <v>114.236043</v>
      </c>
      <c r="I103" s="2" t="n">
        <v>6.11</v>
      </c>
      <c r="J103" s="2" t="n">
        <v>2</v>
      </c>
      <c r="K103" s="4" t="n">
        <v>22.336543</v>
      </c>
      <c r="L103" s="4" t="n">
        <v>114.199097</v>
      </c>
      <c r="M103" s="2" t="s">
        <v>76</v>
      </c>
      <c r="N103" s="8" t="s">
        <v>77</v>
      </c>
      <c r="O103" s="2" t="s">
        <v>451</v>
      </c>
      <c r="P103" s="6"/>
      <c r="Q103" s="6"/>
      <c r="R103" s="7" t="n">
        <f aca="false">IF(AND(ISNUMBER(P103),ISNUMBER(Q103)),P103,K103)</f>
        <v>22.336543</v>
      </c>
      <c r="S103" s="7" t="n">
        <f aca="false">IF(AND(ISNUMBER(P103),ISNUMBER(Q103)),Q103,L103)</f>
        <v>114.199097</v>
      </c>
      <c r="T103" s="4" t="n">
        <v>22.338123</v>
      </c>
      <c r="U103" s="4" t="n">
        <v>114.198213</v>
      </c>
    </row>
    <row r="104" customFormat="false" ht="15" hidden="false" customHeight="false" outlineLevel="0" collapsed="false">
      <c r="A104" s="2" t="s">
        <v>452</v>
      </c>
      <c r="B104" s="2" t="s">
        <v>453</v>
      </c>
      <c r="C104" s="3" t="s">
        <v>454</v>
      </c>
      <c r="D104" s="2" t="s">
        <v>213</v>
      </c>
      <c r="E104" s="2" t="s">
        <v>74</v>
      </c>
      <c r="F104" s="2" t="s">
        <v>455</v>
      </c>
      <c r="G104" s="4" t="n">
        <v>22.500957</v>
      </c>
      <c r="H104" s="4" t="n">
        <v>114.106348</v>
      </c>
      <c r="I104" s="2" t="n">
        <v>6.07</v>
      </c>
      <c r="J104" s="2" t="n">
        <v>3.47</v>
      </c>
      <c r="K104" s="4" t="n">
        <v>22.453942</v>
      </c>
      <c r="L104" s="4" t="n">
        <v>114.138194</v>
      </c>
      <c r="M104" s="2" t="s">
        <v>76</v>
      </c>
      <c r="N104" s="8" t="s">
        <v>77</v>
      </c>
      <c r="O104" s="2" t="s">
        <v>456</v>
      </c>
      <c r="P104" s="6"/>
      <c r="Q104" s="6"/>
      <c r="R104" s="7" t="n">
        <f aca="false">IF(AND(ISNUMBER(P104),ISNUMBER(Q104)),P104,K104)</f>
        <v>22.453942</v>
      </c>
      <c r="S104" s="7" t="n">
        <f aca="false">IF(AND(ISNUMBER(P104),ISNUMBER(Q104)),Q104,L104)</f>
        <v>114.138194</v>
      </c>
      <c r="T104" s="4" t="n">
        <v>22.455673</v>
      </c>
      <c r="U104" s="4" t="n">
        <v>114.139482</v>
      </c>
    </row>
    <row r="105" customFormat="false" ht="15" hidden="false" customHeight="false" outlineLevel="0" collapsed="false">
      <c r="A105" s="2" t="s">
        <v>457</v>
      </c>
      <c r="B105" s="2" t="s">
        <v>458</v>
      </c>
      <c r="C105" s="3" t="s">
        <v>459</v>
      </c>
      <c r="D105" s="2" t="s">
        <v>82</v>
      </c>
      <c r="E105" s="2" t="s">
        <v>49</v>
      </c>
      <c r="F105" s="2" t="s">
        <v>460</v>
      </c>
      <c r="G105" s="4" t="n">
        <v>22.413084</v>
      </c>
      <c r="H105" s="4" t="n">
        <v>113.982676</v>
      </c>
      <c r="I105" s="2" t="n">
        <v>5.91</v>
      </c>
      <c r="J105" s="2" t="n">
        <v>2</v>
      </c>
      <c r="K105" s="4" t="n">
        <v>22.461228</v>
      </c>
      <c r="L105" s="4" t="n">
        <v>114.001155</v>
      </c>
      <c r="M105" s="2" t="s">
        <v>76</v>
      </c>
      <c r="N105" s="8" t="s">
        <v>77</v>
      </c>
      <c r="O105" s="2" t="s">
        <v>461</v>
      </c>
      <c r="P105" s="6"/>
      <c r="Q105" s="6"/>
      <c r="R105" s="7" t="n">
        <f aca="false">IF(AND(ISNUMBER(P105),ISNUMBER(Q105)),P105,K105)</f>
        <v>22.461228</v>
      </c>
      <c r="S105" s="7" t="n">
        <f aca="false">IF(AND(ISNUMBER(P105),ISNUMBER(Q105)),Q105,L105)</f>
        <v>114.001155</v>
      </c>
      <c r="T105" s="4" t="n">
        <v>22.462861</v>
      </c>
      <c r="U105" s="4" t="n">
        <v>114.002573</v>
      </c>
    </row>
    <row r="106" customFormat="false" ht="15" hidden="false" customHeight="false" outlineLevel="0" collapsed="false">
      <c r="A106" s="2" t="s">
        <v>462</v>
      </c>
      <c r="B106" s="2" t="s">
        <v>463</v>
      </c>
      <c r="C106" s="3" t="s">
        <v>464</v>
      </c>
      <c r="D106" s="2" t="s">
        <v>82</v>
      </c>
      <c r="E106" s="2" t="s">
        <v>49</v>
      </c>
      <c r="F106" s="2" t="s">
        <v>460</v>
      </c>
      <c r="G106" s="4" t="n">
        <v>22.413084</v>
      </c>
      <c r="H106" s="4" t="n">
        <v>113.982776</v>
      </c>
      <c r="I106" s="2" t="n">
        <v>5.91</v>
      </c>
      <c r="J106" s="2" t="n">
        <v>2</v>
      </c>
      <c r="K106" s="4" t="n">
        <v>22.460963</v>
      </c>
      <c r="L106" s="4" t="n">
        <v>114.001933</v>
      </c>
      <c r="M106" s="2" t="s">
        <v>76</v>
      </c>
      <c r="N106" s="8" t="s">
        <v>77</v>
      </c>
      <c r="O106" s="2" t="s">
        <v>461</v>
      </c>
      <c r="P106" s="6"/>
      <c r="Q106" s="6"/>
      <c r="R106" s="7" t="n">
        <f aca="false">IF(AND(ISNUMBER(P106),ISNUMBER(Q106)),P106,K106)</f>
        <v>22.460963</v>
      </c>
      <c r="S106" s="7" t="n">
        <f aca="false">IF(AND(ISNUMBER(P106),ISNUMBER(Q106)),Q106,L106)</f>
        <v>114.001933</v>
      </c>
      <c r="T106" s="4" t="n">
        <v>22.462861</v>
      </c>
      <c r="U106" s="4" t="n">
        <v>114.002573</v>
      </c>
    </row>
    <row r="107" customFormat="false" ht="15" hidden="false" customHeight="false" outlineLevel="0" collapsed="false">
      <c r="A107" s="2" t="s">
        <v>465</v>
      </c>
      <c r="B107" s="2" t="s">
        <v>466</v>
      </c>
      <c r="C107" s="3" t="s">
        <v>467</v>
      </c>
      <c r="D107" s="2" t="s">
        <v>174</v>
      </c>
      <c r="E107" s="2" t="s">
        <v>74</v>
      </c>
      <c r="F107" s="2" t="s">
        <v>468</v>
      </c>
      <c r="G107" s="4" t="n">
        <v>22.453879</v>
      </c>
      <c r="H107" s="4" t="n">
        <v>114.164759</v>
      </c>
      <c r="I107" s="2" t="n">
        <v>5.78</v>
      </c>
      <c r="J107" s="2" t="n">
        <v>2</v>
      </c>
      <c r="K107" s="4" t="n">
        <v>22.499686</v>
      </c>
      <c r="L107" s="4" t="n">
        <v>114.142342</v>
      </c>
      <c r="M107" s="2" t="s">
        <v>76</v>
      </c>
      <c r="N107" s="8" t="s">
        <v>77</v>
      </c>
      <c r="O107" s="2" t="s">
        <v>469</v>
      </c>
      <c r="P107" s="6"/>
      <c r="Q107" s="6"/>
      <c r="R107" s="7" t="n">
        <f aca="false">IF(AND(ISNUMBER(P107),ISNUMBER(Q107)),P107,K107)</f>
        <v>22.499686</v>
      </c>
      <c r="S107" s="7" t="n">
        <f aca="false">IF(AND(ISNUMBER(P107),ISNUMBER(Q107)),Q107,L107)</f>
        <v>114.142342</v>
      </c>
      <c r="T107" s="4" t="n">
        <v>22.501299</v>
      </c>
      <c r="U107" s="4" t="n">
        <v>114.141595</v>
      </c>
    </row>
    <row r="108" customFormat="false" ht="15" hidden="false" customHeight="false" outlineLevel="0" collapsed="false">
      <c r="A108" s="2" t="s">
        <v>470</v>
      </c>
      <c r="B108" s="2" t="s">
        <v>471</v>
      </c>
      <c r="C108" s="3" t="s">
        <v>472</v>
      </c>
      <c r="D108" s="2" t="s">
        <v>135</v>
      </c>
      <c r="E108" s="2" t="s">
        <v>74</v>
      </c>
      <c r="F108" s="2" t="s">
        <v>473</v>
      </c>
      <c r="G108" s="4" t="n">
        <v>22.433162</v>
      </c>
      <c r="H108" s="4" t="n">
        <v>113.980146</v>
      </c>
      <c r="I108" s="2" t="n">
        <v>5.42</v>
      </c>
      <c r="J108" s="2" t="n">
        <v>2</v>
      </c>
      <c r="K108" s="4" t="n">
        <v>22.453565</v>
      </c>
      <c r="L108" s="4" t="n">
        <v>114.027141</v>
      </c>
      <c r="M108" s="2" t="s">
        <v>76</v>
      </c>
      <c r="N108" s="8" t="s">
        <v>77</v>
      </c>
      <c r="O108" s="2" t="s">
        <v>474</v>
      </c>
      <c r="P108" s="6"/>
      <c r="Q108" s="6"/>
      <c r="R108" s="7" t="n">
        <f aca="false">IF(AND(ISNUMBER(P108),ISNUMBER(Q108)),P108,K108)</f>
        <v>22.453565</v>
      </c>
      <c r="S108" s="7" t="n">
        <f aca="false">IF(AND(ISNUMBER(P108),ISNUMBER(Q108)),Q108,L108)</f>
        <v>114.027141</v>
      </c>
      <c r="T108" s="4" t="n">
        <v>22.452127</v>
      </c>
      <c r="U108" s="4" t="n">
        <v>114.029309</v>
      </c>
    </row>
    <row r="109" customFormat="false" ht="15" hidden="false" customHeight="false" outlineLevel="0" collapsed="false">
      <c r="A109" s="2" t="s">
        <v>475</v>
      </c>
      <c r="B109" s="2" t="s">
        <v>476</v>
      </c>
      <c r="C109" s="3" t="s">
        <v>477</v>
      </c>
      <c r="D109" s="2" t="s">
        <v>478</v>
      </c>
      <c r="E109" s="2" t="s">
        <v>49</v>
      </c>
      <c r="F109" s="2" t="s">
        <v>479</v>
      </c>
      <c r="G109" s="4" t="n">
        <v>22.41851</v>
      </c>
      <c r="H109" s="4" t="n">
        <v>113.97979</v>
      </c>
      <c r="I109" s="2" t="n">
        <v>5.29</v>
      </c>
      <c r="J109" s="2" t="n">
        <v>2</v>
      </c>
      <c r="K109" s="4" t="n">
        <v>22.464797</v>
      </c>
      <c r="L109" s="4" t="n">
        <v>113.984166</v>
      </c>
      <c r="M109" s="2" t="s">
        <v>76</v>
      </c>
      <c r="N109" s="8" t="s">
        <v>77</v>
      </c>
      <c r="O109" s="2" t="s">
        <v>480</v>
      </c>
      <c r="P109" s="6"/>
      <c r="Q109" s="6"/>
      <c r="R109" s="7" t="n">
        <f aca="false">IF(AND(ISNUMBER(P109),ISNUMBER(Q109)),P109,K109)</f>
        <v>22.464797</v>
      </c>
      <c r="S109" s="7" t="n">
        <f aca="false">IF(AND(ISNUMBER(P109),ISNUMBER(Q109)),Q109,L109)</f>
        <v>113.984166</v>
      </c>
      <c r="T109" s="4" t="n">
        <v>22.466043</v>
      </c>
      <c r="U109" s="4" t="n">
        <v>113.982996</v>
      </c>
    </row>
    <row r="110" customFormat="false" ht="15" hidden="false" customHeight="false" outlineLevel="0" collapsed="false">
      <c r="A110" s="2" t="s">
        <v>481</v>
      </c>
      <c r="B110" s="2" t="s">
        <v>482</v>
      </c>
      <c r="C110" s="2" t="s">
        <v>483</v>
      </c>
      <c r="D110" s="2" t="s">
        <v>98</v>
      </c>
      <c r="E110" s="2" t="s">
        <v>25</v>
      </c>
      <c r="F110" s="2" t="s">
        <v>484</v>
      </c>
      <c r="G110" s="4" t="n">
        <v>22.340195</v>
      </c>
      <c r="H110" s="4" t="n">
        <v>114.154389</v>
      </c>
      <c r="I110" s="2" t="n">
        <v>5.12</v>
      </c>
      <c r="J110" s="2" t="n">
        <v>2</v>
      </c>
      <c r="K110" s="4" t="n">
        <v>22.298748</v>
      </c>
      <c r="L110" s="4" t="n">
        <v>114.175298</v>
      </c>
      <c r="M110" s="2" t="s">
        <v>76</v>
      </c>
      <c r="N110" s="8" t="s">
        <v>77</v>
      </c>
      <c r="O110" s="2" t="s">
        <v>485</v>
      </c>
      <c r="P110" s="6"/>
      <c r="Q110" s="6"/>
      <c r="R110" s="7" t="n">
        <f aca="false">IF(AND(ISNUMBER(P110),ISNUMBER(Q110)),P110,K110)</f>
        <v>22.298748</v>
      </c>
      <c r="S110" s="7" t="n">
        <f aca="false">IF(AND(ISNUMBER(P110),ISNUMBER(Q110)),Q110,L110)</f>
        <v>114.175298</v>
      </c>
      <c r="T110" s="4" t="n">
        <v>22.298048</v>
      </c>
      <c r="U110" s="4" t="n">
        <v>114.17452</v>
      </c>
    </row>
    <row r="111" customFormat="false" ht="15" hidden="false" customHeight="false" outlineLevel="0" collapsed="false">
      <c r="A111" s="2" t="s">
        <v>486</v>
      </c>
      <c r="B111" s="2" t="s">
        <v>487</v>
      </c>
      <c r="C111" s="3" t="s">
        <v>488</v>
      </c>
      <c r="D111" s="2" t="s">
        <v>285</v>
      </c>
      <c r="E111" s="2" t="s">
        <v>25</v>
      </c>
      <c r="F111" s="2" t="s">
        <v>489</v>
      </c>
      <c r="G111" s="4" t="n">
        <v>22.276326</v>
      </c>
      <c r="H111" s="4" t="n">
        <v>114.173854</v>
      </c>
      <c r="I111" s="2" t="n">
        <v>5.03</v>
      </c>
      <c r="J111" s="2" t="n">
        <v>2</v>
      </c>
      <c r="K111" s="4" t="n">
        <v>22.322088</v>
      </c>
      <c r="L111" s="4" t="n">
        <v>114.165928</v>
      </c>
      <c r="M111" s="2" t="s">
        <v>76</v>
      </c>
      <c r="N111" s="8" t="s">
        <v>77</v>
      </c>
      <c r="O111" s="2" t="s">
        <v>490</v>
      </c>
      <c r="P111" s="6"/>
      <c r="Q111" s="6"/>
      <c r="R111" s="7" t="n">
        <f aca="false">IF(AND(ISNUMBER(P111),ISNUMBER(Q111)),P111,K111)</f>
        <v>22.322088</v>
      </c>
      <c r="S111" s="7" t="n">
        <f aca="false">IF(AND(ISNUMBER(P111),ISNUMBER(Q111)),Q111,L111)</f>
        <v>114.165928</v>
      </c>
      <c r="T111" s="4" t="n">
        <v>22.321373</v>
      </c>
      <c r="U111" s="4" t="n">
        <v>114.168407</v>
      </c>
    </row>
    <row r="112" customFormat="false" ht="15" hidden="false" customHeight="false" outlineLevel="0" collapsed="false">
      <c r="A112" s="2" t="s">
        <v>491</v>
      </c>
      <c r="B112" s="2" t="s">
        <v>492</v>
      </c>
      <c r="C112" s="3" t="s">
        <v>493</v>
      </c>
      <c r="D112" s="2" t="s">
        <v>494</v>
      </c>
      <c r="E112" s="2" t="s">
        <v>495</v>
      </c>
      <c r="F112" s="2" t="s">
        <v>496</v>
      </c>
      <c r="G112" s="4" t="n">
        <v>22.248013</v>
      </c>
      <c r="H112" s="4" t="n">
        <v>114.165525</v>
      </c>
      <c r="I112" s="2" t="n">
        <v>5.01</v>
      </c>
      <c r="J112" s="2" t="n">
        <v>2</v>
      </c>
      <c r="K112" s="4" t="n">
        <v>22.288953</v>
      </c>
      <c r="L112" s="4" t="n">
        <v>114.144084</v>
      </c>
      <c r="M112" s="2" t="s">
        <v>76</v>
      </c>
      <c r="N112" s="8" t="s">
        <v>77</v>
      </c>
      <c r="O112" s="2" t="s">
        <v>497</v>
      </c>
      <c r="P112" s="6"/>
      <c r="Q112" s="6"/>
      <c r="R112" s="7" t="n">
        <f aca="false">IF(AND(ISNUMBER(P112),ISNUMBER(Q112)),P112,K112)</f>
        <v>22.288953</v>
      </c>
      <c r="S112" s="7" t="n">
        <f aca="false">IF(AND(ISNUMBER(P112),ISNUMBER(Q112)),Q112,L112)</f>
        <v>114.144084</v>
      </c>
      <c r="T112" s="4" t="n">
        <v>22.288303</v>
      </c>
      <c r="U112" s="4" t="n">
        <v>114.143551</v>
      </c>
    </row>
    <row r="113" customFormat="false" ht="15" hidden="false" customHeight="false" outlineLevel="0" collapsed="false">
      <c r="A113" s="2" t="s">
        <v>498</v>
      </c>
      <c r="B113" s="2" t="s">
        <v>499</v>
      </c>
      <c r="C113" s="3" t="s">
        <v>500</v>
      </c>
      <c r="D113" s="2" t="s">
        <v>501</v>
      </c>
      <c r="E113" s="2" t="s">
        <v>238</v>
      </c>
      <c r="F113" s="2" t="s">
        <v>502</v>
      </c>
      <c r="G113" s="4" t="n">
        <v>22.308465</v>
      </c>
      <c r="H113" s="4" t="n">
        <v>113.982435</v>
      </c>
      <c r="I113" s="2" t="n">
        <v>4.82</v>
      </c>
      <c r="J113" s="2" t="n">
        <v>2</v>
      </c>
      <c r="K113" s="4" t="n">
        <v>22.28952</v>
      </c>
      <c r="L113" s="4" t="n">
        <v>113.940864</v>
      </c>
      <c r="M113" s="2" t="s">
        <v>76</v>
      </c>
      <c r="N113" s="8" t="s">
        <v>77</v>
      </c>
      <c r="O113" s="2" t="s">
        <v>503</v>
      </c>
      <c r="P113" s="6"/>
      <c r="Q113" s="6"/>
      <c r="R113" s="7" t="n">
        <f aca="false">IF(AND(ISNUMBER(P113),ISNUMBER(Q113)),P113,K113)</f>
        <v>22.28952</v>
      </c>
      <c r="S113" s="7" t="n">
        <f aca="false">IF(AND(ISNUMBER(P113),ISNUMBER(Q113)),Q113,L113)</f>
        <v>113.940864</v>
      </c>
      <c r="T113" s="4" t="n">
        <v>22.288881</v>
      </c>
      <c r="U113" s="4" t="n">
        <v>113.940636</v>
      </c>
    </row>
    <row r="114" customFormat="false" ht="15" hidden="false" customHeight="false" outlineLevel="0" collapsed="false">
      <c r="A114" s="2" t="s">
        <v>504</v>
      </c>
      <c r="B114" s="2" t="s">
        <v>505</v>
      </c>
      <c r="C114" s="3" t="s">
        <v>506</v>
      </c>
      <c r="D114" s="2" t="s">
        <v>285</v>
      </c>
      <c r="E114" s="2" t="s">
        <v>25</v>
      </c>
      <c r="F114" s="2" t="s">
        <v>507</v>
      </c>
      <c r="G114" s="4" t="n">
        <v>22.284555</v>
      </c>
      <c r="H114" s="4" t="n">
        <v>114.149861</v>
      </c>
      <c r="I114" s="2" t="n">
        <v>4.75</v>
      </c>
      <c r="J114" s="2" t="n">
        <v>2</v>
      </c>
      <c r="K114" s="4" t="n">
        <v>22.321413</v>
      </c>
      <c r="L114" s="4" t="n">
        <v>114.168625</v>
      </c>
      <c r="M114" s="2" t="s">
        <v>76</v>
      </c>
      <c r="N114" s="8" t="s">
        <v>77</v>
      </c>
      <c r="O114" s="2" t="s">
        <v>508</v>
      </c>
      <c r="P114" s="6"/>
      <c r="Q114" s="6"/>
      <c r="R114" s="7" t="n">
        <f aca="false">IF(AND(ISNUMBER(P114),ISNUMBER(Q114)),P114,K114)</f>
        <v>22.321413</v>
      </c>
      <c r="S114" s="7" t="n">
        <f aca="false">IF(AND(ISNUMBER(P114),ISNUMBER(Q114)),Q114,L114)</f>
        <v>114.168625</v>
      </c>
      <c r="T114" s="4" t="n">
        <v>22.323014</v>
      </c>
      <c r="U114" s="4" t="n">
        <v>114.170148</v>
      </c>
    </row>
    <row r="115" customFormat="false" ht="15" hidden="false" customHeight="false" outlineLevel="0" collapsed="false">
      <c r="A115" s="2" t="s">
        <v>509</v>
      </c>
      <c r="B115" s="2" t="s">
        <v>510</v>
      </c>
      <c r="C115" s="3" t="s">
        <v>511</v>
      </c>
      <c r="D115" s="2" t="s">
        <v>512</v>
      </c>
      <c r="E115" s="2" t="s">
        <v>238</v>
      </c>
      <c r="F115" s="2" t="s">
        <v>513</v>
      </c>
      <c r="G115" s="4" t="n">
        <v>22.255609</v>
      </c>
      <c r="H115" s="4" t="n">
        <v>113.908052</v>
      </c>
      <c r="I115" s="2" t="n">
        <v>4.72</v>
      </c>
      <c r="J115" s="2" t="n">
        <v>2.31</v>
      </c>
      <c r="K115" s="4" t="n">
        <v>22.251875</v>
      </c>
      <c r="L115" s="4" t="n">
        <v>113.859935</v>
      </c>
      <c r="M115" s="2" t="s">
        <v>76</v>
      </c>
      <c r="N115" s="8" t="s">
        <v>77</v>
      </c>
      <c r="O115" s="2" t="s">
        <v>514</v>
      </c>
      <c r="P115" s="6"/>
      <c r="Q115" s="6"/>
      <c r="R115" s="7" t="n">
        <f aca="false">IF(AND(ISNUMBER(P115),ISNUMBER(Q115)),P115,K115)</f>
        <v>22.251875</v>
      </c>
      <c r="S115" s="7" t="n">
        <f aca="false">IF(AND(ISNUMBER(P115),ISNUMBER(Q115)),Q115,L115)</f>
        <v>113.859935</v>
      </c>
      <c r="T115" s="4" t="n">
        <v>22.252574</v>
      </c>
      <c r="U115" s="4" t="n">
        <v>113.862243</v>
      </c>
    </row>
    <row r="116" customFormat="false" ht="15" hidden="false" customHeight="false" outlineLevel="0" collapsed="false">
      <c r="A116" s="2" t="s">
        <v>515</v>
      </c>
      <c r="B116" s="2" t="s">
        <v>516</v>
      </c>
      <c r="C116" s="3" t="s">
        <v>517</v>
      </c>
      <c r="D116" s="2" t="s">
        <v>195</v>
      </c>
      <c r="E116" s="2" t="s">
        <v>196</v>
      </c>
      <c r="F116" s="2" t="s">
        <v>197</v>
      </c>
      <c r="G116" s="4" t="n">
        <v>22.333504</v>
      </c>
      <c r="H116" s="4" t="n">
        <v>114.179501</v>
      </c>
      <c r="I116" s="2" t="n">
        <v>4.71</v>
      </c>
      <c r="J116" s="2" t="n">
        <v>2</v>
      </c>
      <c r="K116" s="4" t="n">
        <v>22.375958</v>
      </c>
      <c r="L116" s="4" t="n">
        <v>114.176094</v>
      </c>
      <c r="M116" s="2" t="s">
        <v>76</v>
      </c>
      <c r="N116" s="8" t="s">
        <v>77</v>
      </c>
      <c r="O116" s="2" t="s">
        <v>198</v>
      </c>
      <c r="P116" s="6"/>
      <c r="Q116" s="6"/>
      <c r="R116" s="7" t="n">
        <f aca="false">IF(AND(ISNUMBER(P116),ISNUMBER(Q116)),P116,K116)</f>
        <v>22.375958</v>
      </c>
      <c r="S116" s="7" t="n">
        <f aca="false">IF(AND(ISNUMBER(P116),ISNUMBER(Q116)),Q116,L116)</f>
        <v>114.176094</v>
      </c>
      <c r="T116" s="4" t="n">
        <v>22.375941</v>
      </c>
      <c r="U116" s="4" t="n">
        <v>114.178626</v>
      </c>
    </row>
    <row r="117" customFormat="false" ht="15" hidden="false" customHeight="false" outlineLevel="0" collapsed="false">
      <c r="A117" s="2" t="s">
        <v>518</v>
      </c>
      <c r="B117" s="2" t="s">
        <v>519</v>
      </c>
      <c r="C117" s="3" t="s">
        <v>520</v>
      </c>
      <c r="D117" s="2" t="s">
        <v>521</v>
      </c>
      <c r="E117" s="2" t="s">
        <v>495</v>
      </c>
      <c r="F117" s="2" t="s">
        <v>522</v>
      </c>
      <c r="G117" s="4" t="n">
        <v>22.274845</v>
      </c>
      <c r="H117" s="4" t="n">
        <v>114.190287</v>
      </c>
      <c r="I117" s="2" t="n">
        <v>4.51</v>
      </c>
      <c r="J117" s="2" t="n">
        <v>2</v>
      </c>
      <c r="K117" s="4" t="n">
        <v>22.285021</v>
      </c>
      <c r="L117" s="4" t="n">
        <v>114.145498</v>
      </c>
      <c r="M117" s="2" t="s">
        <v>76</v>
      </c>
      <c r="N117" s="8" t="s">
        <v>77</v>
      </c>
      <c r="O117" s="2" t="s">
        <v>523</v>
      </c>
      <c r="P117" s="6"/>
      <c r="Q117" s="6"/>
      <c r="R117" s="7" t="n">
        <f aca="false">IF(AND(ISNUMBER(P117),ISNUMBER(Q117)),P117,K117)</f>
        <v>22.285021</v>
      </c>
      <c r="S117" s="7" t="n">
        <f aca="false">IF(AND(ISNUMBER(P117),ISNUMBER(Q117)),Q117,L117)</f>
        <v>114.145498</v>
      </c>
      <c r="T117" s="4" t="n">
        <v>22.285539</v>
      </c>
      <c r="U117" s="4" t="n">
        <v>114.1479</v>
      </c>
    </row>
    <row r="118" customFormat="false" ht="15" hidden="false" customHeight="false" outlineLevel="0" collapsed="false">
      <c r="A118" s="2" t="s">
        <v>524</v>
      </c>
      <c r="B118" s="2" t="s">
        <v>525</v>
      </c>
      <c r="C118" s="3" t="s">
        <v>526</v>
      </c>
      <c r="D118" s="2" t="s">
        <v>527</v>
      </c>
      <c r="E118" s="2" t="s">
        <v>25</v>
      </c>
      <c r="F118" s="2" t="s">
        <v>528</v>
      </c>
      <c r="G118" s="4" t="n">
        <v>22.284959</v>
      </c>
      <c r="H118" s="4" t="n">
        <v>114.192501</v>
      </c>
      <c r="I118" s="2" t="n">
        <v>4.46</v>
      </c>
      <c r="J118" s="2" t="n">
        <v>2</v>
      </c>
      <c r="K118" s="4" t="n">
        <v>22.320362</v>
      </c>
      <c r="L118" s="4" t="n">
        <v>114.167358</v>
      </c>
      <c r="M118" s="2" t="s">
        <v>76</v>
      </c>
      <c r="N118" s="8" t="s">
        <v>77</v>
      </c>
      <c r="O118" s="2" t="s">
        <v>529</v>
      </c>
      <c r="P118" s="6"/>
      <c r="Q118" s="6"/>
      <c r="R118" s="7" t="n">
        <f aca="false">IF(AND(ISNUMBER(P118),ISNUMBER(Q118)),P118,K118)</f>
        <v>22.320362</v>
      </c>
      <c r="S118" s="7" t="n">
        <f aca="false">IF(AND(ISNUMBER(P118),ISNUMBER(Q118)),Q118,L118)</f>
        <v>114.167358</v>
      </c>
      <c r="T118" s="4" t="n">
        <v>22.317679</v>
      </c>
      <c r="U118" s="4" t="n">
        <v>114.167436</v>
      </c>
    </row>
    <row r="119" customFormat="false" ht="15" hidden="false" customHeight="false" outlineLevel="0" collapsed="false">
      <c r="A119" s="2" t="s">
        <v>530</v>
      </c>
      <c r="B119" s="2" t="s">
        <v>531</v>
      </c>
      <c r="C119" s="3" t="s">
        <v>532</v>
      </c>
      <c r="D119" s="2" t="s">
        <v>533</v>
      </c>
      <c r="E119" s="2" t="s">
        <v>238</v>
      </c>
      <c r="F119" s="2" t="s">
        <v>534</v>
      </c>
      <c r="G119" s="4" t="n">
        <v>22.270322</v>
      </c>
      <c r="H119" s="4" t="n">
        <v>113.93095</v>
      </c>
      <c r="I119" s="2" t="n">
        <v>4.35</v>
      </c>
      <c r="J119" s="2" t="n">
        <v>2</v>
      </c>
      <c r="K119" s="4" t="n">
        <v>22.235634</v>
      </c>
      <c r="L119" s="4" t="n">
        <v>113.949481</v>
      </c>
      <c r="M119" s="2" t="s">
        <v>76</v>
      </c>
      <c r="N119" s="8" t="s">
        <v>77</v>
      </c>
      <c r="O119" s="2" t="s">
        <v>535</v>
      </c>
      <c r="P119" s="6"/>
      <c r="Q119" s="6"/>
      <c r="R119" s="7" t="n">
        <f aca="false">IF(AND(ISNUMBER(P119),ISNUMBER(Q119)),P119,K119)</f>
        <v>22.235634</v>
      </c>
      <c r="S119" s="7" t="n">
        <f aca="false">IF(AND(ISNUMBER(P119),ISNUMBER(Q119)),Q119,L119)</f>
        <v>113.949481</v>
      </c>
      <c r="T119" s="4" t="n">
        <v>22.235008</v>
      </c>
      <c r="U119" s="4" t="n">
        <v>113.949274</v>
      </c>
    </row>
    <row r="120" customFormat="false" ht="15" hidden="false" customHeight="false" outlineLevel="0" collapsed="false">
      <c r="A120" s="2" t="s">
        <v>536</v>
      </c>
      <c r="B120" s="2" t="s">
        <v>537</v>
      </c>
      <c r="C120" s="3" t="s">
        <v>538</v>
      </c>
      <c r="D120" s="2" t="s">
        <v>291</v>
      </c>
      <c r="E120" s="2" t="s">
        <v>292</v>
      </c>
      <c r="F120" s="2" t="s">
        <v>539</v>
      </c>
      <c r="G120" s="4" t="n">
        <v>22.302552</v>
      </c>
      <c r="H120" s="4" t="n">
        <v>114.272794</v>
      </c>
      <c r="I120" s="2" t="n">
        <v>4.13</v>
      </c>
      <c r="J120" s="2" t="n">
        <v>2</v>
      </c>
      <c r="K120" s="4" t="n">
        <v>22.33788</v>
      </c>
      <c r="L120" s="4" t="n">
        <v>114.26026</v>
      </c>
      <c r="M120" s="2" t="s">
        <v>76</v>
      </c>
      <c r="N120" s="8" t="s">
        <v>77</v>
      </c>
      <c r="O120" s="2" t="s">
        <v>540</v>
      </c>
      <c r="P120" s="6"/>
      <c r="Q120" s="6"/>
      <c r="R120" s="7" t="n">
        <f aca="false">IF(AND(ISNUMBER(P120),ISNUMBER(Q120)),P120,K120)</f>
        <v>22.33788</v>
      </c>
      <c r="S120" s="7" t="n">
        <f aca="false">IF(AND(ISNUMBER(P120),ISNUMBER(Q120)),Q120,L120)</f>
        <v>114.26026</v>
      </c>
      <c r="T120" s="4" t="n">
        <v>22.337513</v>
      </c>
      <c r="U120" s="4" t="n">
        <v>114.258971</v>
      </c>
    </row>
    <row r="121" customFormat="false" ht="15" hidden="false" customHeight="false" outlineLevel="0" collapsed="false">
      <c r="A121" s="2" t="s">
        <v>541</v>
      </c>
      <c r="B121" s="2" t="s">
        <v>542</v>
      </c>
      <c r="C121" s="3" t="s">
        <v>543</v>
      </c>
      <c r="D121" s="2" t="s">
        <v>291</v>
      </c>
      <c r="E121" s="2" t="s">
        <v>292</v>
      </c>
      <c r="F121" s="2" t="s">
        <v>539</v>
      </c>
      <c r="G121" s="4" t="n">
        <v>22.302552</v>
      </c>
      <c r="H121" s="4" t="n">
        <v>114.272794</v>
      </c>
      <c r="I121" s="2" t="n">
        <v>4.13</v>
      </c>
      <c r="J121" s="2" t="n">
        <v>2</v>
      </c>
      <c r="K121" s="4" t="n">
        <v>22.335772</v>
      </c>
      <c r="L121" s="4" t="n">
        <v>114.259584</v>
      </c>
      <c r="M121" s="2" t="s">
        <v>76</v>
      </c>
      <c r="N121" s="8" t="s">
        <v>77</v>
      </c>
      <c r="O121" s="2" t="s">
        <v>540</v>
      </c>
      <c r="P121" s="6"/>
      <c r="Q121" s="6"/>
      <c r="R121" s="7" t="n">
        <f aca="false">IF(AND(ISNUMBER(P121),ISNUMBER(Q121)),P121,K121)</f>
        <v>22.335772</v>
      </c>
      <c r="S121" s="7" t="n">
        <f aca="false">IF(AND(ISNUMBER(P121),ISNUMBER(Q121)),Q121,L121)</f>
        <v>114.259584</v>
      </c>
      <c r="T121" s="4" t="n">
        <v>22.337513</v>
      </c>
      <c r="U121" s="4" t="n">
        <v>114.258971</v>
      </c>
    </row>
    <row r="122" customFormat="false" ht="15" hidden="false" customHeight="false" outlineLevel="0" collapsed="false">
      <c r="A122" s="2" t="s">
        <v>544</v>
      </c>
      <c r="B122" s="2" t="s">
        <v>545</v>
      </c>
      <c r="C122" s="3" t="s">
        <v>546</v>
      </c>
      <c r="D122" s="2" t="s">
        <v>291</v>
      </c>
      <c r="E122" s="2" t="s">
        <v>292</v>
      </c>
      <c r="F122" s="2" t="s">
        <v>539</v>
      </c>
      <c r="G122" s="4" t="n">
        <v>22.302552</v>
      </c>
      <c r="H122" s="4" t="n">
        <v>114.272794</v>
      </c>
      <c r="I122" s="2" t="n">
        <v>4.13</v>
      </c>
      <c r="J122" s="2" t="n">
        <v>2</v>
      </c>
      <c r="K122" s="4" t="n">
        <v>22.339872</v>
      </c>
      <c r="L122" s="4" t="n">
        <v>114.257777</v>
      </c>
      <c r="M122" s="2" t="s">
        <v>76</v>
      </c>
      <c r="N122" s="8" t="s">
        <v>77</v>
      </c>
      <c r="O122" s="2" t="s">
        <v>540</v>
      </c>
      <c r="P122" s="6"/>
      <c r="Q122" s="6"/>
      <c r="R122" s="7" t="n">
        <f aca="false">IF(AND(ISNUMBER(P122),ISNUMBER(Q122)),P122,K122)</f>
        <v>22.339872</v>
      </c>
      <c r="S122" s="7" t="n">
        <f aca="false">IF(AND(ISNUMBER(P122),ISNUMBER(Q122)),Q122,L122)</f>
        <v>114.257777</v>
      </c>
      <c r="T122" s="4" t="n">
        <v>22.337513</v>
      </c>
      <c r="U122" s="4" t="n">
        <v>114.258971</v>
      </c>
    </row>
    <row r="123" customFormat="false" ht="15" hidden="false" customHeight="false" outlineLevel="0" collapsed="false">
      <c r="A123" s="2" t="s">
        <v>547</v>
      </c>
      <c r="B123" s="2" t="s">
        <v>548</v>
      </c>
      <c r="C123" s="3" t="s">
        <v>549</v>
      </c>
      <c r="D123" s="2" t="s">
        <v>73</v>
      </c>
      <c r="E123" s="2" t="s">
        <v>74</v>
      </c>
      <c r="F123" s="2" t="s">
        <v>550</v>
      </c>
      <c r="G123" s="4" t="n">
        <v>22.516648</v>
      </c>
      <c r="H123" s="4" t="n">
        <v>114.111061</v>
      </c>
      <c r="I123" s="2" t="n">
        <v>4.12</v>
      </c>
      <c r="J123" s="2" t="n">
        <v>2</v>
      </c>
      <c r="K123" s="4" t="n">
        <v>22.499097</v>
      </c>
      <c r="L123" s="4" t="n">
        <v>114.074332</v>
      </c>
      <c r="M123" s="2" t="s">
        <v>76</v>
      </c>
      <c r="N123" s="8" t="s">
        <v>77</v>
      </c>
      <c r="O123" s="2" t="s">
        <v>551</v>
      </c>
      <c r="P123" s="6"/>
      <c r="Q123" s="6"/>
      <c r="R123" s="7" t="n">
        <f aca="false">IF(AND(ISNUMBER(P123),ISNUMBER(Q123)),P123,K123)</f>
        <v>22.499097</v>
      </c>
      <c r="S123" s="7" t="n">
        <f aca="false">IF(AND(ISNUMBER(P123),ISNUMBER(Q123)),Q123,L123)</f>
        <v>114.074332</v>
      </c>
      <c r="T123" s="4" t="n">
        <v>22.501033</v>
      </c>
      <c r="U123" s="4" t="n">
        <v>114.074653</v>
      </c>
    </row>
    <row r="124" customFormat="false" ht="15" hidden="false" customHeight="false" outlineLevel="0" collapsed="false">
      <c r="A124" s="2" t="s">
        <v>552</v>
      </c>
      <c r="B124" s="2" t="s">
        <v>553</v>
      </c>
      <c r="C124" s="3" t="s">
        <v>554</v>
      </c>
      <c r="D124" s="2" t="s">
        <v>512</v>
      </c>
      <c r="E124" s="2" t="s">
        <v>238</v>
      </c>
      <c r="F124" s="2" t="s">
        <v>513</v>
      </c>
      <c r="G124" s="4" t="n">
        <v>22.254706</v>
      </c>
      <c r="H124" s="4" t="n">
        <v>113.90199</v>
      </c>
      <c r="I124" s="2" t="n">
        <v>4.09</v>
      </c>
      <c r="J124" s="2" t="n">
        <v>2.31</v>
      </c>
      <c r="K124" s="4" t="n">
        <v>22.251102</v>
      </c>
      <c r="L124" s="4" t="n">
        <v>113.863238</v>
      </c>
      <c r="M124" s="2" t="s">
        <v>76</v>
      </c>
      <c r="N124" s="8" t="s">
        <v>77</v>
      </c>
      <c r="O124" s="2" t="s">
        <v>514</v>
      </c>
      <c r="P124" s="6"/>
      <c r="Q124" s="6"/>
      <c r="R124" s="7" t="n">
        <f aca="false">IF(AND(ISNUMBER(P124),ISNUMBER(Q124)),P124,K124)</f>
        <v>22.251102</v>
      </c>
      <c r="S124" s="7" t="n">
        <f aca="false">IF(AND(ISNUMBER(P124),ISNUMBER(Q124)),Q124,L124)</f>
        <v>113.863238</v>
      </c>
      <c r="T124" s="4" t="n">
        <v>22.252574</v>
      </c>
      <c r="U124" s="4" t="n">
        <v>113.862243</v>
      </c>
    </row>
    <row r="125" customFormat="false" ht="15" hidden="false" customHeight="false" outlineLevel="0" collapsed="false">
      <c r="A125" s="2" t="s">
        <v>555</v>
      </c>
      <c r="B125" s="2" t="s">
        <v>556</v>
      </c>
      <c r="C125" s="3" t="s">
        <v>557</v>
      </c>
      <c r="D125" s="2" t="s">
        <v>558</v>
      </c>
      <c r="E125" s="2" t="s">
        <v>25</v>
      </c>
      <c r="F125" s="2" t="s">
        <v>559</v>
      </c>
      <c r="G125" s="4" t="n">
        <v>22.280563</v>
      </c>
      <c r="H125" s="4" t="n">
        <v>114.18066</v>
      </c>
      <c r="I125" s="2" t="n">
        <v>3.88</v>
      </c>
      <c r="J125" s="2" t="n">
        <v>2</v>
      </c>
      <c r="K125" s="4" t="n">
        <v>22.312008</v>
      </c>
      <c r="L125" s="4" t="n">
        <v>114.169357</v>
      </c>
      <c r="M125" s="2" t="s">
        <v>76</v>
      </c>
      <c r="N125" s="8" t="s">
        <v>77</v>
      </c>
      <c r="O125" s="2" t="s">
        <v>560</v>
      </c>
      <c r="P125" s="6"/>
      <c r="Q125" s="6"/>
      <c r="R125" s="7" t="n">
        <f aca="false">IF(AND(ISNUMBER(P125),ISNUMBER(Q125)),P125,K125)</f>
        <v>22.312008</v>
      </c>
      <c r="S125" s="7" t="n">
        <f aca="false">IF(AND(ISNUMBER(P125),ISNUMBER(Q125)),Q125,L125)</f>
        <v>114.169357</v>
      </c>
      <c r="T125" s="4" t="n">
        <v>22.313957</v>
      </c>
      <c r="U125" s="4" t="n">
        <v>114.169597</v>
      </c>
    </row>
    <row r="126" customFormat="false" ht="15" hidden="false" customHeight="false" outlineLevel="0" collapsed="false">
      <c r="A126" s="2" t="s">
        <v>561</v>
      </c>
      <c r="B126" s="2" t="s">
        <v>562</v>
      </c>
      <c r="C126" s="3" t="s">
        <v>563</v>
      </c>
      <c r="D126" s="2" t="s">
        <v>564</v>
      </c>
      <c r="E126" s="2" t="s">
        <v>74</v>
      </c>
      <c r="F126" s="2" t="s">
        <v>550</v>
      </c>
      <c r="G126" s="4" t="n">
        <v>22.503997</v>
      </c>
      <c r="H126" s="4" t="n">
        <v>114.112207</v>
      </c>
      <c r="I126" s="2" t="n">
        <v>3.87</v>
      </c>
      <c r="J126" s="2" t="n">
        <v>2</v>
      </c>
      <c r="K126" s="4" t="n">
        <v>22.50098</v>
      </c>
      <c r="L126" s="4" t="n">
        <v>114.072153</v>
      </c>
      <c r="M126" s="2" t="s">
        <v>76</v>
      </c>
      <c r="N126" s="8" t="s">
        <v>77</v>
      </c>
      <c r="O126" s="2" t="s">
        <v>551</v>
      </c>
      <c r="P126" s="6"/>
      <c r="Q126" s="6"/>
      <c r="R126" s="7" t="n">
        <f aca="false">IF(AND(ISNUMBER(P126),ISNUMBER(Q126)),P126,K126)</f>
        <v>22.50098</v>
      </c>
      <c r="S126" s="7" t="n">
        <f aca="false">IF(AND(ISNUMBER(P126),ISNUMBER(Q126)),Q126,L126)</f>
        <v>114.072153</v>
      </c>
      <c r="T126" s="4" t="n">
        <v>22.501033</v>
      </c>
      <c r="U126" s="4" t="n">
        <v>114.074653</v>
      </c>
    </row>
    <row r="127" customFormat="false" ht="15" hidden="false" customHeight="false" outlineLevel="0" collapsed="false">
      <c r="A127" s="2" t="s">
        <v>565</v>
      </c>
      <c r="B127" s="3" t="s">
        <v>566</v>
      </c>
      <c r="C127" s="3" t="s">
        <v>567</v>
      </c>
      <c r="D127" s="2" t="s">
        <v>564</v>
      </c>
      <c r="E127" s="2" t="s">
        <v>74</v>
      </c>
      <c r="F127" s="2" t="s">
        <v>550</v>
      </c>
      <c r="G127" s="4" t="n">
        <v>22.503874</v>
      </c>
      <c r="H127" s="4" t="n">
        <v>114.112155</v>
      </c>
      <c r="I127" s="2" t="n">
        <v>3.86</v>
      </c>
      <c r="J127" s="2" t="n">
        <v>2</v>
      </c>
      <c r="K127" s="4" t="n">
        <v>22.502085</v>
      </c>
      <c r="L127" s="4" t="n">
        <v>114.072275</v>
      </c>
      <c r="M127" s="2" t="s">
        <v>76</v>
      </c>
      <c r="N127" s="8" t="s">
        <v>77</v>
      </c>
      <c r="O127" s="2" t="s">
        <v>551</v>
      </c>
      <c r="P127" s="6"/>
      <c r="Q127" s="6"/>
      <c r="R127" s="7" t="n">
        <f aca="false">IF(AND(ISNUMBER(P127),ISNUMBER(Q127)),P127,K127)</f>
        <v>22.502085</v>
      </c>
      <c r="S127" s="7" t="n">
        <f aca="false">IF(AND(ISNUMBER(P127),ISNUMBER(Q127)),Q127,L127)</f>
        <v>114.072275</v>
      </c>
      <c r="T127" s="4" t="n">
        <v>22.501033</v>
      </c>
      <c r="U127" s="4" t="n">
        <v>114.074653</v>
      </c>
    </row>
    <row r="128" customFormat="false" ht="15" hidden="false" customHeight="false" outlineLevel="0" collapsed="false">
      <c r="A128" s="2" t="s">
        <v>568</v>
      </c>
      <c r="B128" s="3" t="s">
        <v>569</v>
      </c>
      <c r="C128" s="3" t="s">
        <v>570</v>
      </c>
      <c r="D128" s="2" t="s">
        <v>564</v>
      </c>
      <c r="E128" s="2" t="s">
        <v>74</v>
      </c>
      <c r="F128" s="2" t="s">
        <v>550</v>
      </c>
      <c r="G128" s="4" t="n">
        <v>22.503874</v>
      </c>
      <c r="H128" s="4" t="n">
        <v>114.112155</v>
      </c>
      <c r="I128" s="2" t="n">
        <v>3.86</v>
      </c>
      <c r="J128" s="2" t="n">
        <v>2</v>
      </c>
      <c r="K128" s="4" t="n">
        <v>22.500849</v>
      </c>
      <c r="L128" s="4" t="n">
        <v>114.07619</v>
      </c>
      <c r="M128" s="2" t="s">
        <v>76</v>
      </c>
      <c r="N128" s="8" t="s">
        <v>77</v>
      </c>
      <c r="O128" s="2" t="s">
        <v>551</v>
      </c>
      <c r="P128" s="6"/>
      <c r="Q128" s="6"/>
      <c r="R128" s="7" t="n">
        <f aca="false">IF(AND(ISNUMBER(P128),ISNUMBER(Q128)),P128,K128)</f>
        <v>22.500849</v>
      </c>
      <c r="S128" s="7" t="n">
        <f aca="false">IF(AND(ISNUMBER(P128),ISNUMBER(Q128)),Q128,L128)</f>
        <v>114.07619</v>
      </c>
      <c r="T128" s="4" t="n">
        <v>22.501033</v>
      </c>
      <c r="U128" s="4" t="n">
        <v>114.074653</v>
      </c>
    </row>
    <row r="129" customFormat="false" ht="15" hidden="false" customHeight="false" outlineLevel="0" collapsed="false">
      <c r="A129" s="2" t="s">
        <v>571</v>
      </c>
      <c r="B129" s="2" t="s">
        <v>572</v>
      </c>
      <c r="C129" s="3" t="s">
        <v>573</v>
      </c>
      <c r="D129" s="2" t="s">
        <v>73</v>
      </c>
      <c r="E129" s="2" t="s">
        <v>74</v>
      </c>
      <c r="F129" s="2" t="s">
        <v>550</v>
      </c>
      <c r="G129" s="4" t="n">
        <v>22.51506</v>
      </c>
      <c r="H129" s="4" t="n">
        <v>114.10875</v>
      </c>
      <c r="I129" s="2" t="n">
        <v>3.83</v>
      </c>
      <c r="J129" s="2" t="n">
        <v>2</v>
      </c>
      <c r="K129" s="4" t="n">
        <v>22.499187</v>
      </c>
      <c r="L129" s="4" t="n">
        <v>114.07366</v>
      </c>
      <c r="M129" s="2" t="s">
        <v>76</v>
      </c>
      <c r="N129" s="8" t="s">
        <v>77</v>
      </c>
      <c r="O129" s="2" t="s">
        <v>551</v>
      </c>
      <c r="P129" s="6"/>
      <c r="Q129" s="6"/>
      <c r="R129" s="7" t="n">
        <f aca="false">IF(AND(ISNUMBER(P129),ISNUMBER(Q129)),P129,K129)</f>
        <v>22.499187</v>
      </c>
      <c r="S129" s="7" t="n">
        <f aca="false">IF(AND(ISNUMBER(P129),ISNUMBER(Q129)),Q129,L129)</f>
        <v>114.07366</v>
      </c>
      <c r="T129" s="4" t="n">
        <v>22.501033</v>
      </c>
      <c r="U129" s="4" t="n">
        <v>114.074653</v>
      </c>
    </row>
    <row r="130" customFormat="false" ht="15" hidden="false" customHeight="false" outlineLevel="0" collapsed="false">
      <c r="A130" s="2" t="s">
        <v>574</v>
      </c>
      <c r="B130" s="2" t="s">
        <v>575</v>
      </c>
      <c r="C130" s="3" t="s">
        <v>576</v>
      </c>
      <c r="D130" s="2" t="s">
        <v>73</v>
      </c>
      <c r="E130" s="2" t="s">
        <v>74</v>
      </c>
      <c r="F130" s="2" t="s">
        <v>550</v>
      </c>
      <c r="G130" s="4" t="n">
        <v>22.505699</v>
      </c>
      <c r="H130" s="4" t="n">
        <v>114.111313</v>
      </c>
      <c r="I130" s="2" t="n">
        <v>3.79</v>
      </c>
      <c r="J130" s="2" t="n">
        <v>2</v>
      </c>
      <c r="K130" s="4" t="n">
        <v>22.500742</v>
      </c>
      <c r="L130" s="4" t="n">
        <v>114.07614</v>
      </c>
      <c r="M130" s="2" t="s">
        <v>76</v>
      </c>
      <c r="N130" s="8" t="s">
        <v>77</v>
      </c>
      <c r="O130" s="2" t="s">
        <v>551</v>
      </c>
      <c r="P130" s="6"/>
      <c r="Q130" s="6"/>
      <c r="R130" s="7" t="n">
        <f aca="false">IF(AND(ISNUMBER(P130),ISNUMBER(Q130)),P130,K130)</f>
        <v>22.500742</v>
      </c>
      <c r="S130" s="7" t="n">
        <f aca="false">IF(AND(ISNUMBER(P130),ISNUMBER(Q130)),Q130,L130)</f>
        <v>114.07614</v>
      </c>
      <c r="T130" s="4" t="n">
        <v>22.501033</v>
      </c>
      <c r="U130" s="4" t="n">
        <v>114.074653</v>
      </c>
    </row>
    <row r="131" customFormat="false" ht="15" hidden="false" customHeight="false" outlineLevel="0" collapsed="false">
      <c r="A131" s="2" t="s">
        <v>577</v>
      </c>
      <c r="B131" s="2" t="s">
        <v>578</v>
      </c>
      <c r="C131" s="3" t="s">
        <v>579</v>
      </c>
      <c r="D131" s="2" t="s">
        <v>315</v>
      </c>
      <c r="E131" s="2" t="s">
        <v>49</v>
      </c>
      <c r="F131" s="2" t="s">
        <v>580</v>
      </c>
      <c r="G131" s="4" t="n">
        <v>22.373451</v>
      </c>
      <c r="H131" s="4" t="n">
        <v>113.994895</v>
      </c>
      <c r="I131" s="2" t="n">
        <v>3.77</v>
      </c>
      <c r="J131" s="2" t="n">
        <v>2</v>
      </c>
      <c r="K131" s="4" t="n">
        <v>22.398195</v>
      </c>
      <c r="L131" s="4" t="n">
        <v>113.972476</v>
      </c>
      <c r="M131" s="2" t="s">
        <v>76</v>
      </c>
      <c r="N131" s="8" t="s">
        <v>77</v>
      </c>
      <c r="O131" s="2" t="s">
        <v>581</v>
      </c>
      <c r="P131" s="6"/>
      <c r="Q131" s="6"/>
      <c r="R131" s="7" t="n">
        <f aca="false">IF(AND(ISNUMBER(P131),ISNUMBER(Q131)),P131,K131)</f>
        <v>22.398195</v>
      </c>
      <c r="S131" s="7" t="n">
        <f aca="false">IF(AND(ISNUMBER(P131),ISNUMBER(Q131)),Q131,L131)</f>
        <v>113.972476</v>
      </c>
      <c r="T131" s="4" t="n">
        <v>22.399761</v>
      </c>
      <c r="U131" s="4" t="n">
        <v>113.971573</v>
      </c>
    </row>
    <row r="132" customFormat="false" ht="15" hidden="false" customHeight="false" outlineLevel="0" collapsed="false">
      <c r="A132" s="2" t="s">
        <v>582</v>
      </c>
      <c r="B132" s="2" t="s">
        <v>583</v>
      </c>
      <c r="C132" s="3" t="s">
        <v>584</v>
      </c>
      <c r="D132" s="2" t="s">
        <v>129</v>
      </c>
      <c r="E132" s="2" t="s">
        <v>123</v>
      </c>
      <c r="F132" s="2" t="s">
        <v>585</v>
      </c>
      <c r="G132" s="4" t="n">
        <v>22.303542</v>
      </c>
      <c r="H132" s="4" t="n">
        <v>114.185093</v>
      </c>
      <c r="I132" s="2" t="n">
        <v>3.76</v>
      </c>
      <c r="J132" s="2" t="n">
        <v>2</v>
      </c>
      <c r="K132" s="4" t="n">
        <v>22.325306</v>
      </c>
      <c r="L132" s="4" t="n">
        <v>114.155412</v>
      </c>
      <c r="M132" s="2" t="s">
        <v>76</v>
      </c>
      <c r="N132" s="8" t="s">
        <v>77</v>
      </c>
      <c r="O132" s="2" t="s">
        <v>586</v>
      </c>
      <c r="P132" s="6"/>
      <c r="Q132" s="6"/>
      <c r="R132" s="7" t="n">
        <f aca="false">IF(AND(ISNUMBER(P132),ISNUMBER(Q132)),P132,K132)</f>
        <v>22.325306</v>
      </c>
      <c r="S132" s="7" t="n">
        <f aca="false">IF(AND(ISNUMBER(P132),ISNUMBER(Q132)),Q132,L132)</f>
        <v>114.155412</v>
      </c>
      <c r="T132" s="4" t="n">
        <v>22.325934</v>
      </c>
      <c r="U132" s="4" t="n">
        <v>114.157741</v>
      </c>
    </row>
    <row r="133" customFormat="false" ht="15" hidden="false" customHeight="false" outlineLevel="0" collapsed="false">
      <c r="A133" s="2" t="s">
        <v>587</v>
      </c>
      <c r="B133" s="2" t="s">
        <v>588</v>
      </c>
      <c r="C133" s="3" t="s">
        <v>589</v>
      </c>
      <c r="D133" s="2" t="s">
        <v>73</v>
      </c>
      <c r="E133" s="2" t="s">
        <v>74</v>
      </c>
      <c r="F133" s="2" t="s">
        <v>550</v>
      </c>
      <c r="G133" s="4" t="n">
        <v>22.504397</v>
      </c>
      <c r="H133" s="4" t="n">
        <v>114.111056</v>
      </c>
      <c r="I133" s="2" t="n">
        <v>3.75</v>
      </c>
      <c r="J133" s="2" t="n">
        <v>2</v>
      </c>
      <c r="K133" s="4" t="n">
        <v>22.501693</v>
      </c>
      <c r="L133" s="4" t="n">
        <v>114.074982</v>
      </c>
      <c r="M133" s="2" t="s">
        <v>76</v>
      </c>
      <c r="N133" s="8" t="s">
        <v>77</v>
      </c>
      <c r="O133" s="2" t="s">
        <v>551</v>
      </c>
      <c r="P133" s="6"/>
      <c r="Q133" s="6"/>
      <c r="R133" s="7" t="n">
        <f aca="false">IF(AND(ISNUMBER(P133),ISNUMBER(Q133)),P133,K133)</f>
        <v>22.501693</v>
      </c>
      <c r="S133" s="7" t="n">
        <f aca="false">IF(AND(ISNUMBER(P133),ISNUMBER(Q133)),Q133,L133)</f>
        <v>114.074982</v>
      </c>
      <c r="T133" s="4" t="n">
        <v>22.501033</v>
      </c>
      <c r="U133" s="4" t="n">
        <v>114.074653</v>
      </c>
    </row>
    <row r="134" customFormat="false" ht="15" hidden="false" customHeight="false" outlineLevel="0" collapsed="false">
      <c r="A134" s="2" t="s">
        <v>590</v>
      </c>
      <c r="B134" s="2" t="s">
        <v>591</v>
      </c>
      <c r="C134" s="3" t="s">
        <v>592</v>
      </c>
      <c r="D134" s="2" t="s">
        <v>231</v>
      </c>
      <c r="E134" s="2" t="s">
        <v>123</v>
      </c>
      <c r="F134" s="2" t="s">
        <v>593</v>
      </c>
      <c r="G134" s="4" t="n">
        <v>22.32452</v>
      </c>
      <c r="H134" s="4" t="n">
        <v>114.167322</v>
      </c>
      <c r="I134" s="2" t="n">
        <v>3.7</v>
      </c>
      <c r="J134" s="2" t="n">
        <v>2</v>
      </c>
      <c r="K134" s="4" t="n">
        <v>22.344626</v>
      </c>
      <c r="L134" s="4" t="n">
        <v>114.197096</v>
      </c>
      <c r="M134" s="2" t="s">
        <v>76</v>
      </c>
      <c r="N134" s="8" t="s">
        <v>77</v>
      </c>
      <c r="O134" s="2" t="s">
        <v>594</v>
      </c>
      <c r="P134" s="6"/>
      <c r="Q134" s="6"/>
      <c r="R134" s="7" t="n">
        <f aca="false">IF(AND(ISNUMBER(P134),ISNUMBER(Q134)),P134,K134)</f>
        <v>22.344626</v>
      </c>
      <c r="S134" s="7" t="n">
        <f aca="false">IF(AND(ISNUMBER(P134),ISNUMBER(Q134)),Q134,L134)</f>
        <v>114.197096</v>
      </c>
      <c r="T134" s="4" t="n">
        <v>22.343975</v>
      </c>
      <c r="U134" s="4" t="n">
        <v>114.196527</v>
      </c>
    </row>
    <row r="135" customFormat="false" ht="15" hidden="false" customHeight="false" outlineLevel="0" collapsed="false">
      <c r="A135" s="2" t="s">
        <v>595</v>
      </c>
      <c r="B135" s="2" t="s">
        <v>596</v>
      </c>
      <c r="C135" s="3" t="s">
        <v>597</v>
      </c>
      <c r="D135" s="2" t="s">
        <v>73</v>
      </c>
      <c r="E135" s="2" t="s">
        <v>74</v>
      </c>
      <c r="F135" s="2" t="s">
        <v>550</v>
      </c>
      <c r="G135" s="4" t="n">
        <v>22.511851</v>
      </c>
      <c r="H135" s="4" t="n">
        <v>114.108367</v>
      </c>
      <c r="I135" s="2" t="n">
        <v>3.66</v>
      </c>
      <c r="J135" s="2" t="n">
        <v>2</v>
      </c>
      <c r="K135" s="4" t="n">
        <v>22.501508</v>
      </c>
      <c r="L135" s="4" t="n">
        <v>114.07573</v>
      </c>
      <c r="M135" s="2" t="s">
        <v>76</v>
      </c>
      <c r="N135" s="8" t="s">
        <v>77</v>
      </c>
      <c r="O135" s="2" t="s">
        <v>551</v>
      </c>
      <c r="P135" s="6"/>
      <c r="Q135" s="6"/>
      <c r="R135" s="7" t="n">
        <f aca="false">IF(AND(ISNUMBER(P135),ISNUMBER(Q135)),P135,K135)</f>
        <v>22.501508</v>
      </c>
      <c r="S135" s="7" t="n">
        <f aca="false">IF(AND(ISNUMBER(P135),ISNUMBER(Q135)),Q135,L135)</f>
        <v>114.07573</v>
      </c>
      <c r="T135" s="4" t="n">
        <v>22.501033</v>
      </c>
      <c r="U135" s="4" t="n">
        <v>114.074653</v>
      </c>
    </row>
    <row r="136" customFormat="false" ht="15" hidden="false" customHeight="false" outlineLevel="0" collapsed="false">
      <c r="A136" s="2" t="s">
        <v>598</v>
      </c>
      <c r="B136" s="2" t="s">
        <v>599</v>
      </c>
      <c r="C136" s="3" t="s">
        <v>600</v>
      </c>
      <c r="D136" s="2" t="s">
        <v>73</v>
      </c>
      <c r="E136" s="2" t="s">
        <v>74</v>
      </c>
      <c r="F136" s="2" t="s">
        <v>550</v>
      </c>
      <c r="G136" s="4" t="n">
        <v>22.503124</v>
      </c>
      <c r="H136" s="4" t="n">
        <v>114.109863</v>
      </c>
      <c r="I136" s="2" t="n">
        <v>3.62</v>
      </c>
      <c r="J136" s="2" t="n">
        <v>2</v>
      </c>
      <c r="K136" s="4" t="n">
        <v>22.499725</v>
      </c>
      <c r="L136" s="4" t="n">
        <v>114.072812</v>
      </c>
      <c r="M136" s="2" t="s">
        <v>76</v>
      </c>
      <c r="N136" s="8" t="s">
        <v>77</v>
      </c>
      <c r="O136" s="2" t="s">
        <v>551</v>
      </c>
      <c r="P136" s="6"/>
      <c r="Q136" s="6"/>
      <c r="R136" s="7" t="n">
        <f aca="false">IF(AND(ISNUMBER(P136),ISNUMBER(Q136)),P136,K136)</f>
        <v>22.499725</v>
      </c>
      <c r="S136" s="7" t="n">
        <f aca="false">IF(AND(ISNUMBER(P136),ISNUMBER(Q136)),Q136,L136)</f>
        <v>114.072812</v>
      </c>
      <c r="T136" s="4" t="n">
        <v>22.501033</v>
      </c>
      <c r="U136" s="4" t="n">
        <v>114.074653</v>
      </c>
    </row>
    <row r="137" customFormat="false" ht="15" hidden="false" customHeight="false" outlineLevel="0" collapsed="false">
      <c r="A137" s="2" t="s">
        <v>601</v>
      </c>
      <c r="B137" s="2" t="s">
        <v>602</v>
      </c>
      <c r="C137" s="3" t="s">
        <v>603</v>
      </c>
      <c r="D137" s="2" t="s">
        <v>55</v>
      </c>
      <c r="E137" s="2" t="s">
        <v>49</v>
      </c>
      <c r="F137" s="2" t="s">
        <v>56</v>
      </c>
      <c r="G137" s="4" t="n">
        <v>22.444727</v>
      </c>
      <c r="H137" s="4" t="n">
        <v>114.02783</v>
      </c>
      <c r="I137" s="2" t="n">
        <v>3.58</v>
      </c>
      <c r="J137" s="2" t="n">
        <v>2.16</v>
      </c>
      <c r="K137" s="4" t="n">
        <v>22.431733</v>
      </c>
      <c r="L137" s="4" t="n">
        <v>113.995311</v>
      </c>
      <c r="M137" s="2" t="s">
        <v>76</v>
      </c>
      <c r="N137" s="8" t="s">
        <v>77</v>
      </c>
      <c r="O137" s="2" t="s">
        <v>604</v>
      </c>
      <c r="P137" s="6"/>
      <c r="Q137" s="6"/>
      <c r="R137" s="7" t="n">
        <f aca="false">IF(AND(ISNUMBER(P137),ISNUMBER(Q137)),P137,K137)</f>
        <v>22.431733</v>
      </c>
      <c r="S137" s="7" t="n">
        <f aca="false">IF(AND(ISNUMBER(P137),ISNUMBER(Q137)),Q137,L137)</f>
        <v>113.995311</v>
      </c>
      <c r="T137" s="4" t="n">
        <v>22.433511</v>
      </c>
      <c r="U137" s="4" t="n">
        <v>113.994901</v>
      </c>
    </row>
    <row r="138" customFormat="false" ht="15" hidden="false" customHeight="false" outlineLevel="0" collapsed="false">
      <c r="A138" s="2" t="s">
        <v>605</v>
      </c>
      <c r="B138" s="2" t="s">
        <v>606</v>
      </c>
      <c r="C138" s="3" t="s">
        <v>607</v>
      </c>
      <c r="D138" s="2" t="s">
        <v>291</v>
      </c>
      <c r="E138" s="2" t="s">
        <v>292</v>
      </c>
      <c r="F138" s="2" t="s">
        <v>310</v>
      </c>
      <c r="G138" s="4" t="n">
        <v>22.345157</v>
      </c>
      <c r="H138" s="4" t="n">
        <v>114.250548</v>
      </c>
      <c r="I138" s="2" t="n">
        <v>3.56</v>
      </c>
      <c r="J138" s="2" t="n">
        <v>2.86</v>
      </c>
      <c r="K138" s="4" t="n">
        <v>22.321281</v>
      </c>
      <c r="L138" s="4" t="n">
        <v>114.274493</v>
      </c>
      <c r="M138" s="2" t="s">
        <v>76</v>
      </c>
      <c r="N138" s="8" t="s">
        <v>77</v>
      </c>
      <c r="O138" s="2" t="s">
        <v>311</v>
      </c>
      <c r="P138" s="6"/>
      <c r="Q138" s="6"/>
      <c r="R138" s="7" t="n">
        <f aca="false">IF(AND(ISNUMBER(P138),ISNUMBER(Q138)),P138,K138)</f>
        <v>22.321281</v>
      </c>
      <c r="S138" s="7" t="n">
        <f aca="false">IF(AND(ISNUMBER(P138),ISNUMBER(Q138)),Q138,L138)</f>
        <v>114.274493</v>
      </c>
      <c r="T138" s="4" t="n">
        <v>22.320864</v>
      </c>
      <c r="U138" s="4" t="n">
        <v>114.27328</v>
      </c>
    </row>
    <row r="139" customFormat="false" ht="15" hidden="false" customHeight="false" outlineLevel="0" collapsed="false">
      <c r="A139" s="2" t="s">
        <v>608</v>
      </c>
      <c r="B139" s="2" t="s">
        <v>609</v>
      </c>
      <c r="C139" s="3" t="s">
        <v>610</v>
      </c>
      <c r="D139" s="2" t="s">
        <v>291</v>
      </c>
      <c r="E139" s="2" t="s">
        <v>292</v>
      </c>
      <c r="F139" s="2" t="s">
        <v>310</v>
      </c>
      <c r="G139" s="4" t="n">
        <v>22.345077</v>
      </c>
      <c r="H139" s="4" t="n">
        <v>114.250502</v>
      </c>
      <c r="I139" s="2" t="n">
        <v>3.55</v>
      </c>
      <c r="J139" s="2" t="n">
        <v>2.86</v>
      </c>
      <c r="K139" s="4" t="n">
        <v>22.320333</v>
      </c>
      <c r="L139" s="4" t="n">
        <v>114.270868</v>
      </c>
      <c r="M139" s="2" t="s">
        <v>76</v>
      </c>
      <c r="N139" s="8" t="s">
        <v>77</v>
      </c>
      <c r="O139" s="2" t="s">
        <v>311</v>
      </c>
      <c r="P139" s="6"/>
      <c r="Q139" s="6"/>
      <c r="R139" s="7" t="n">
        <f aca="false">IF(AND(ISNUMBER(P139),ISNUMBER(Q139)),P139,K139)</f>
        <v>22.320333</v>
      </c>
      <c r="S139" s="7" t="n">
        <f aca="false">IF(AND(ISNUMBER(P139),ISNUMBER(Q139)),Q139,L139)</f>
        <v>114.270868</v>
      </c>
      <c r="T139" s="4" t="n">
        <v>22.320864</v>
      </c>
      <c r="U139" s="4" t="n">
        <v>114.27328</v>
      </c>
    </row>
    <row r="140" customFormat="false" ht="15" hidden="false" customHeight="false" outlineLevel="0" collapsed="false">
      <c r="A140" s="2" t="s">
        <v>611</v>
      </c>
      <c r="B140" s="2" t="s">
        <v>612</v>
      </c>
      <c r="C140" s="3" t="s">
        <v>613</v>
      </c>
      <c r="D140" s="2" t="s">
        <v>291</v>
      </c>
      <c r="E140" s="2" t="s">
        <v>292</v>
      </c>
      <c r="F140" s="2" t="s">
        <v>310</v>
      </c>
      <c r="G140" s="4" t="n">
        <v>22.345256</v>
      </c>
      <c r="H140" s="4" t="n">
        <v>114.250815</v>
      </c>
      <c r="I140" s="2" t="n">
        <v>3.55</v>
      </c>
      <c r="J140" s="2" t="n">
        <v>2.86</v>
      </c>
      <c r="K140" s="4" t="n">
        <v>22.323003</v>
      </c>
      <c r="L140" s="4" t="n">
        <v>114.271777</v>
      </c>
      <c r="M140" s="2" t="s">
        <v>76</v>
      </c>
      <c r="N140" s="8" t="s">
        <v>77</v>
      </c>
      <c r="O140" s="2" t="s">
        <v>311</v>
      </c>
      <c r="P140" s="6"/>
      <c r="Q140" s="6"/>
      <c r="R140" s="7" t="n">
        <f aca="false">IF(AND(ISNUMBER(P140),ISNUMBER(Q140)),P140,K140)</f>
        <v>22.323003</v>
      </c>
      <c r="S140" s="7" t="n">
        <f aca="false">IF(AND(ISNUMBER(P140),ISNUMBER(Q140)),Q140,L140)</f>
        <v>114.271777</v>
      </c>
      <c r="T140" s="4" t="n">
        <v>22.320864</v>
      </c>
      <c r="U140" s="4" t="n">
        <v>114.27328</v>
      </c>
    </row>
    <row r="141" customFormat="false" ht="15" hidden="false" customHeight="false" outlineLevel="0" collapsed="false">
      <c r="A141" s="2" t="s">
        <v>614</v>
      </c>
      <c r="B141" s="2" t="s">
        <v>615</v>
      </c>
      <c r="C141" s="3" t="s">
        <v>616</v>
      </c>
      <c r="D141" s="2" t="s">
        <v>291</v>
      </c>
      <c r="E141" s="2" t="s">
        <v>292</v>
      </c>
      <c r="F141" s="2" t="s">
        <v>310</v>
      </c>
      <c r="G141" s="4" t="n">
        <v>22.344959</v>
      </c>
      <c r="H141" s="4" t="n">
        <v>114.25049</v>
      </c>
      <c r="I141" s="2" t="n">
        <v>3.54</v>
      </c>
      <c r="J141" s="2" t="n">
        <v>2.86</v>
      </c>
      <c r="K141" s="4" t="n">
        <v>22.319015</v>
      </c>
      <c r="L141" s="4" t="n">
        <v>114.273457</v>
      </c>
      <c r="M141" s="2" t="s">
        <v>76</v>
      </c>
      <c r="N141" s="8" t="s">
        <v>77</v>
      </c>
      <c r="O141" s="2" t="s">
        <v>311</v>
      </c>
      <c r="P141" s="6"/>
      <c r="Q141" s="6"/>
      <c r="R141" s="7" t="n">
        <f aca="false">IF(AND(ISNUMBER(P141),ISNUMBER(Q141)),P141,K141)</f>
        <v>22.319015</v>
      </c>
      <c r="S141" s="7" t="n">
        <f aca="false">IF(AND(ISNUMBER(P141),ISNUMBER(Q141)),Q141,L141)</f>
        <v>114.273457</v>
      </c>
      <c r="T141" s="4" t="n">
        <v>22.320864</v>
      </c>
      <c r="U141" s="4" t="n">
        <v>114.27328</v>
      </c>
    </row>
    <row r="142" customFormat="false" ht="15" hidden="false" customHeight="false" outlineLevel="0" collapsed="false">
      <c r="A142" s="2" t="s">
        <v>617</v>
      </c>
      <c r="B142" s="2" t="s">
        <v>618</v>
      </c>
      <c r="C142" s="3" t="s">
        <v>619</v>
      </c>
      <c r="D142" s="2" t="s">
        <v>291</v>
      </c>
      <c r="E142" s="2" t="s">
        <v>292</v>
      </c>
      <c r="F142" s="2" t="s">
        <v>310</v>
      </c>
      <c r="G142" s="4" t="n">
        <v>22.344892</v>
      </c>
      <c r="H142" s="4" t="n">
        <v>114.250432</v>
      </c>
      <c r="I142" s="2" t="n">
        <v>3.54</v>
      </c>
      <c r="J142" s="2" t="n">
        <v>2.86</v>
      </c>
      <c r="K142" s="4" t="n">
        <v>22.322702</v>
      </c>
      <c r="L142" s="4" t="n">
        <v>114.271414</v>
      </c>
      <c r="M142" s="2" t="s">
        <v>76</v>
      </c>
      <c r="N142" s="8" t="s">
        <v>77</v>
      </c>
      <c r="O142" s="2" t="s">
        <v>311</v>
      </c>
      <c r="P142" s="6"/>
      <c r="Q142" s="6"/>
      <c r="R142" s="7" t="n">
        <f aca="false">IF(AND(ISNUMBER(P142),ISNUMBER(Q142)),P142,K142)</f>
        <v>22.322702</v>
      </c>
      <c r="S142" s="7" t="n">
        <f aca="false">IF(AND(ISNUMBER(P142),ISNUMBER(Q142)),Q142,L142)</f>
        <v>114.271414</v>
      </c>
      <c r="T142" s="4" t="n">
        <v>22.320864</v>
      </c>
      <c r="U142" s="4" t="n">
        <v>114.27328</v>
      </c>
    </row>
    <row r="143" customFormat="false" ht="15" hidden="false" customHeight="false" outlineLevel="0" collapsed="false">
      <c r="A143" s="2" t="s">
        <v>620</v>
      </c>
      <c r="B143" s="2" t="s">
        <v>621</v>
      </c>
      <c r="C143" s="3" t="s">
        <v>622</v>
      </c>
      <c r="D143" s="2" t="s">
        <v>291</v>
      </c>
      <c r="E143" s="2" t="s">
        <v>292</v>
      </c>
      <c r="F143" s="2" t="s">
        <v>310</v>
      </c>
      <c r="G143" s="4" t="n">
        <v>22.345241</v>
      </c>
      <c r="H143" s="4" t="n">
        <v>114.250908</v>
      </c>
      <c r="I143" s="2" t="n">
        <v>3.54</v>
      </c>
      <c r="J143" s="2" t="n">
        <v>2.86</v>
      </c>
      <c r="K143" s="4" t="n">
        <v>22.320319</v>
      </c>
      <c r="L143" s="4" t="n">
        <v>114.27478</v>
      </c>
      <c r="M143" s="2" t="s">
        <v>76</v>
      </c>
      <c r="N143" s="8" t="s">
        <v>77</v>
      </c>
      <c r="O143" s="2" t="s">
        <v>311</v>
      </c>
      <c r="P143" s="6"/>
      <c r="Q143" s="6"/>
      <c r="R143" s="7" t="n">
        <f aca="false">IF(AND(ISNUMBER(P143),ISNUMBER(Q143)),P143,K143)</f>
        <v>22.320319</v>
      </c>
      <c r="S143" s="7" t="n">
        <f aca="false">IF(AND(ISNUMBER(P143),ISNUMBER(Q143)),Q143,L143)</f>
        <v>114.27478</v>
      </c>
      <c r="T143" s="4" t="n">
        <v>22.320864</v>
      </c>
      <c r="U143" s="4" t="n">
        <v>114.27328</v>
      </c>
    </row>
    <row r="144" customFormat="false" ht="15" hidden="false" customHeight="false" outlineLevel="0" collapsed="false">
      <c r="A144" s="2" t="s">
        <v>623</v>
      </c>
      <c r="B144" s="2" t="s">
        <v>624</v>
      </c>
      <c r="C144" s="3" t="s">
        <v>625</v>
      </c>
      <c r="D144" s="2" t="s">
        <v>291</v>
      </c>
      <c r="E144" s="2" t="s">
        <v>292</v>
      </c>
      <c r="F144" s="2" t="s">
        <v>310</v>
      </c>
      <c r="G144" s="4" t="n">
        <v>22.344799</v>
      </c>
      <c r="H144" s="4" t="n">
        <v>114.250397</v>
      </c>
      <c r="I144" s="2" t="n">
        <v>3.54</v>
      </c>
      <c r="J144" s="2" t="n">
        <v>2.86</v>
      </c>
      <c r="K144" s="4" t="n">
        <v>22.321557</v>
      </c>
      <c r="L144" s="4" t="n">
        <v>114.273973</v>
      </c>
      <c r="M144" s="2" t="s">
        <v>76</v>
      </c>
      <c r="N144" s="8" t="s">
        <v>77</v>
      </c>
      <c r="O144" s="2" t="s">
        <v>311</v>
      </c>
      <c r="P144" s="6"/>
      <c r="Q144" s="6"/>
      <c r="R144" s="7" t="n">
        <f aca="false">IF(AND(ISNUMBER(P144),ISNUMBER(Q144)),P144,K144)</f>
        <v>22.321557</v>
      </c>
      <c r="S144" s="7" t="n">
        <f aca="false">IF(AND(ISNUMBER(P144),ISNUMBER(Q144)),Q144,L144)</f>
        <v>114.273973</v>
      </c>
      <c r="T144" s="4" t="n">
        <v>22.320864</v>
      </c>
      <c r="U144" s="4" t="n">
        <v>114.27328</v>
      </c>
    </row>
    <row r="145" customFormat="false" ht="15" hidden="false" customHeight="false" outlineLevel="0" collapsed="false">
      <c r="A145" s="2" t="s">
        <v>626</v>
      </c>
      <c r="B145" s="2" t="s">
        <v>627</v>
      </c>
      <c r="C145" s="3" t="s">
        <v>628</v>
      </c>
      <c r="D145" s="2" t="s">
        <v>291</v>
      </c>
      <c r="E145" s="2" t="s">
        <v>292</v>
      </c>
      <c r="F145" s="2" t="s">
        <v>310</v>
      </c>
      <c r="G145" s="4" t="n">
        <v>22.34527</v>
      </c>
      <c r="H145" s="4" t="n">
        <v>114.251001</v>
      </c>
      <c r="I145" s="2" t="n">
        <v>3.54</v>
      </c>
      <c r="J145" s="2" t="n">
        <v>2.86</v>
      </c>
      <c r="K145" s="4" t="n">
        <v>22.319252</v>
      </c>
      <c r="L145" s="4" t="n">
        <v>114.2718</v>
      </c>
      <c r="M145" s="2" t="s">
        <v>76</v>
      </c>
      <c r="N145" s="8" t="s">
        <v>77</v>
      </c>
      <c r="O145" s="2" t="s">
        <v>311</v>
      </c>
      <c r="P145" s="6"/>
      <c r="Q145" s="6"/>
      <c r="R145" s="7" t="n">
        <f aca="false">IF(AND(ISNUMBER(P145),ISNUMBER(Q145)),P145,K145)</f>
        <v>22.319252</v>
      </c>
      <c r="S145" s="7" t="n">
        <f aca="false">IF(AND(ISNUMBER(P145),ISNUMBER(Q145)),Q145,L145)</f>
        <v>114.2718</v>
      </c>
      <c r="T145" s="4" t="n">
        <v>22.320864</v>
      </c>
      <c r="U145" s="4" t="n">
        <v>114.27328</v>
      </c>
    </row>
    <row r="146" customFormat="false" ht="15" hidden="false" customHeight="false" outlineLevel="0" collapsed="false">
      <c r="A146" s="2" t="s">
        <v>629</v>
      </c>
      <c r="B146" s="2" t="s">
        <v>630</v>
      </c>
      <c r="C146" s="3" t="s">
        <v>631</v>
      </c>
      <c r="D146" s="2" t="s">
        <v>291</v>
      </c>
      <c r="E146" s="2" t="s">
        <v>292</v>
      </c>
      <c r="F146" s="2" t="s">
        <v>310</v>
      </c>
      <c r="G146" s="4" t="n">
        <v>22.345328</v>
      </c>
      <c r="H146" s="4" t="n">
        <v>114.251187</v>
      </c>
      <c r="I146" s="2" t="n">
        <v>3.53</v>
      </c>
      <c r="J146" s="2" t="n">
        <v>2.86</v>
      </c>
      <c r="K146" s="4" t="n">
        <v>22.319647</v>
      </c>
      <c r="L146" s="4" t="n">
        <v>114.27135</v>
      </c>
      <c r="M146" s="2" t="s">
        <v>76</v>
      </c>
      <c r="N146" s="8" t="s">
        <v>77</v>
      </c>
      <c r="O146" s="2" t="s">
        <v>311</v>
      </c>
      <c r="P146" s="6"/>
      <c r="Q146" s="6"/>
      <c r="R146" s="7" t="n">
        <f aca="false">IF(AND(ISNUMBER(P146),ISNUMBER(Q146)),P146,K146)</f>
        <v>22.319647</v>
      </c>
      <c r="S146" s="7" t="n">
        <f aca="false">IF(AND(ISNUMBER(P146),ISNUMBER(Q146)),Q146,L146)</f>
        <v>114.27135</v>
      </c>
      <c r="T146" s="4" t="n">
        <v>22.320864</v>
      </c>
      <c r="U146" s="4" t="n">
        <v>114.27328</v>
      </c>
    </row>
    <row r="147" customFormat="false" ht="15" hidden="false" customHeight="false" outlineLevel="0" collapsed="false">
      <c r="A147" s="2" t="s">
        <v>632</v>
      </c>
      <c r="B147" s="2" t="s">
        <v>633</v>
      </c>
      <c r="C147" s="3" t="s">
        <v>634</v>
      </c>
      <c r="D147" s="2" t="s">
        <v>291</v>
      </c>
      <c r="E147" s="2" t="s">
        <v>292</v>
      </c>
      <c r="F147" s="2" t="s">
        <v>310</v>
      </c>
      <c r="G147" s="4" t="n">
        <v>22.345246</v>
      </c>
      <c r="H147" s="4" t="n">
        <v>114.251222</v>
      </c>
      <c r="I147" s="2" t="n">
        <v>3.52</v>
      </c>
      <c r="J147" s="2" t="n">
        <v>2.86</v>
      </c>
      <c r="K147" s="4" t="n">
        <v>22.320444</v>
      </c>
      <c r="L147" s="4" t="n">
        <v>114.27479</v>
      </c>
      <c r="M147" s="2" t="s">
        <v>76</v>
      </c>
      <c r="N147" s="8" t="s">
        <v>77</v>
      </c>
      <c r="O147" s="2" t="s">
        <v>311</v>
      </c>
      <c r="P147" s="6"/>
      <c r="Q147" s="6"/>
      <c r="R147" s="7" t="n">
        <f aca="false">IF(AND(ISNUMBER(P147),ISNUMBER(Q147)),P147,K147)</f>
        <v>22.320444</v>
      </c>
      <c r="S147" s="7" t="n">
        <f aca="false">IF(AND(ISNUMBER(P147),ISNUMBER(Q147)),Q147,L147)</f>
        <v>114.27479</v>
      </c>
      <c r="T147" s="4" t="n">
        <v>22.320864</v>
      </c>
      <c r="U147" s="4" t="n">
        <v>114.27328</v>
      </c>
    </row>
    <row r="148" customFormat="false" ht="15" hidden="false" customHeight="false" outlineLevel="0" collapsed="false">
      <c r="A148" s="2" t="s">
        <v>635</v>
      </c>
      <c r="B148" s="2" t="s">
        <v>636</v>
      </c>
      <c r="C148" s="3" t="s">
        <v>637</v>
      </c>
      <c r="D148" s="2" t="s">
        <v>638</v>
      </c>
      <c r="E148" s="2" t="s">
        <v>639</v>
      </c>
      <c r="F148" s="2" t="s">
        <v>640</v>
      </c>
      <c r="G148" s="4" t="n">
        <v>22.263157</v>
      </c>
      <c r="H148" s="4" t="n">
        <v>114.148433</v>
      </c>
      <c r="I148" s="2" t="n">
        <v>3.52</v>
      </c>
      <c r="J148" s="2" t="n">
        <v>2</v>
      </c>
      <c r="K148" s="4" t="n">
        <v>22.263381</v>
      </c>
      <c r="L148" s="4" t="n">
        <v>114.181337</v>
      </c>
      <c r="M148" s="2" t="s">
        <v>76</v>
      </c>
      <c r="N148" s="8" t="s">
        <v>77</v>
      </c>
      <c r="O148" s="2" t="s">
        <v>641</v>
      </c>
      <c r="P148" s="6"/>
      <c r="Q148" s="6"/>
      <c r="R148" s="7" t="n">
        <f aca="false">IF(AND(ISNUMBER(P148),ISNUMBER(Q148)),P148,K148)</f>
        <v>22.263381</v>
      </c>
      <c r="S148" s="7" t="n">
        <f aca="false">IF(AND(ISNUMBER(P148),ISNUMBER(Q148)),Q148,L148)</f>
        <v>114.181337</v>
      </c>
      <c r="T148" s="4" t="n">
        <v>22.265119</v>
      </c>
      <c r="U148" s="4" t="n">
        <v>114.182608</v>
      </c>
    </row>
    <row r="149" customFormat="false" ht="15" hidden="false" customHeight="false" outlineLevel="0" collapsed="false">
      <c r="A149" s="2" t="s">
        <v>642</v>
      </c>
      <c r="B149" s="2" t="s">
        <v>643</v>
      </c>
      <c r="C149" s="3" t="s">
        <v>644</v>
      </c>
      <c r="D149" s="2" t="s">
        <v>98</v>
      </c>
      <c r="E149" s="2" t="s">
        <v>25</v>
      </c>
      <c r="F149" s="2" t="s">
        <v>645</v>
      </c>
      <c r="G149" s="4" t="n">
        <v>22.279238</v>
      </c>
      <c r="H149" s="4" t="n">
        <v>114.15055</v>
      </c>
      <c r="I149" s="2" t="n">
        <v>3.44</v>
      </c>
      <c r="J149" s="2" t="n">
        <v>2</v>
      </c>
      <c r="K149" s="4" t="n">
        <v>22.299783</v>
      </c>
      <c r="L149" s="4" t="n">
        <v>114.175906</v>
      </c>
      <c r="M149" s="2" t="s">
        <v>76</v>
      </c>
      <c r="N149" s="8" t="s">
        <v>77</v>
      </c>
      <c r="O149" s="2" t="s">
        <v>646</v>
      </c>
      <c r="P149" s="6"/>
      <c r="Q149" s="6"/>
      <c r="R149" s="7" t="n">
        <f aca="false">IF(AND(ISNUMBER(P149),ISNUMBER(Q149)),P149,K149)</f>
        <v>22.299783</v>
      </c>
      <c r="S149" s="7" t="n">
        <f aca="false">IF(AND(ISNUMBER(P149),ISNUMBER(Q149)),Q149,L149)</f>
        <v>114.175906</v>
      </c>
      <c r="T149" s="4" t="n">
        <v>22.300832</v>
      </c>
      <c r="U149" s="4" t="n">
        <v>114.174579</v>
      </c>
    </row>
    <row r="150" customFormat="false" ht="15" hidden="false" customHeight="false" outlineLevel="0" collapsed="false">
      <c r="A150" s="2" t="s">
        <v>647</v>
      </c>
      <c r="B150" s="2" t="s">
        <v>648</v>
      </c>
      <c r="C150" s="3" t="s">
        <v>649</v>
      </c>
      <c r="D150" s="2" t="s">
        <v>638</v>
      </c>
      <c r="E150" s="2" t="s">
        <v>495</v>
      </c>
      <c r="F150" s="2" t="s">
        <v>650</v>
      </c>
      <c r="G150" s="4" t="n">
        <v>22.282395</v>
      </c>
      <c r="H150" s="4" t="n">
        <v>114.126674</v>
      </c>
      <c r="I150" s="2" t="n">
        <v>3.32</v>
      </c>
      <c r="J150" s="2" t="n">
        <v>2</v>
      </c>
      <c r="K150" s="4" t="n">
        <v>22.275264</v>
      </c>
      <c r="L150" s="4" t="n">
        <v>114.156025</v>
      </c>
      <c r="M150" s="2" t="s">
        <v>76</v>
      </c>
      <c r="N150" s="8" t="s">
        <v>77</v>
      </c>
      <c r="O150" s="2" t="s">
        <v>651</v>
      </c>
      <c r="P150" s="6"/>
      <c r="Q150" s="6"/>
      <c r="R150" s="7" t="n">
        <f aca="false">IF(AND(ISNUMBER(P150),ISNUMBER(Q150)),P150,K150)</f>
        <v>22.275264</v>
      </c>
      <c r="S150" s="7" t="n">
        <f aca="false">IF(AND(ISNUMBER(P150),ISNUMBER(Q150)),Q150,L150)</f>
        <v>114.156025</v>
      </c>
      <c r="T150" s="4" t="n">
        <v>22.276241</v>
      </c>
      <c r="U150" s="4" t="n">
        <v>114.158185</v>
      </c>
    </row>
    <row r="151" customFormat="false" ht="15" hidden="false" customHeight="false" outlineLevel="0" collapsed="false">
      <c r="A151" s="2" t="s">
        <v>652</v>
      </c>
      <c r="B151" s="2" t="s">
        <v>653</v>
      </c>
      <c r="C151" s="3" t="s">
        <v>654</v>
      </c>
      <c r="D151" s="2" t="s">
        <v>655</v>
      </c>
      <c r="E151" s="2" t="s">
        <v>123</v>
      </c>
      <c r="F151" s="2" t="s">
        <v>656</v>
      </c>
      <c r="G151" s="4" t="n">
        <v>22.372892</v>
      </c>
      <c r="H151" s="4" t="n">
        <v>114.108804</v>
      </c>
      <c r="I151" s="2" t="n">
        <v>3</v>
      </c>
      <c r="J151" s="2" t="n">
        <v>2</v>
      </c>
      <c r="K151" s="4" t="n">
        <v>22.36692</v>
      </c>
      <c r="L151" s="4" t="n">
        <v>114.137574</v>
      </c>
      <c r="M151" s="2" t="s">
        <v>76</v>
      </c>
      <c r="N151" s="8" t="s">
        <v>77</v>
      </c>
      <c r="O151" s="2" t="s">
        <v>657</v>
      </c>
      <c r="P151" s="6"/>
      <c r="Q151" s="6"/>
      <c r="R151" s="7" t="n">
        <f aca="false">IF(AND(ISNUMBER(P151),ISNUMBER(Q151)),P151,K151)</f>
        <v>22.36692</v>
      </c>
      <c r="S151" s="7" t="n">
        <f aca="false">IF(AND(ISNUMBER(P151),ISNUMBER(Q151)),Q151,L151)</f>
        <v>114.137574</v>
      </c>
      <c r="T151" s="4" t="n">
        <v>22.368865</v>
      </c>
      <c r="U151" s="4" t="n">
        <v>114.137748</v>
      </c>
    </row>
    <row r="152" customFormat="false" ht="15" hidden="false" customHeight="false" outlineLevel="0" collapsed="false">
      <c r="A152" s="2" t="s">
        <v>658</v>
      </c>
      <c r="B152" s="2" t="s">
        <v>659</v>
      </c>
      <c r="C152" s="3" t="s">
        <v>660</v>
      </c>
      <c r="D152" s="2" t="s">
        <v>661</v>
      </c>
      <c r="E152" s="2" t="s">
        <v>110</v>
      </c>
      <c r="F152" s="2" t="s">
        <v>662</v>
      </c>
      <c r="G152" s="4" t="n">
        <v>22.306996</v>
      </c>
      <c r="H152" s="4" t="n">
        <v>114.232187</v>
      </c>
      <c r="I152" s="2" t="n">
        <v>3</v>
      </c>
      <c r="J152" s="2" t="n">
        <v>2</v>
      </c>
      <c r="K152" s="4" t="n">
        <v>22.321863</v>
      </c>
      <c r="L152" s="4" t="n">
        <v>114.205615</v>
      </c>
      <c r="M152" s="2" t="s">
        <v>76</v>
      </c>
      <c r="N152" s="8" t="s">
        <v>77</v>
      </c>
      <c r="O152" s="2" t="s">
        <v>663</v>
      </c>
      <c r="P152" s="6"/>
      <c r="Q152" s="6"/>
      <c r="R152" s="7" t="n">
        <f aca="false">IF(AND(ISNUMBER(P152),ISNUMBER(Q152)),P152,K152)</f>
        <v>22.321863</v>
      </c>
      <c r="S152" s="7" t="n">
        <f aca="false">IF(AND(ISNUMBER(P152),ISNUMBER(Q152)),Q152,L152)</f>
        <v>114.205615</v>
      </c>
      <c r="T152" s="4" t="n">
        <v>22.322095</v>
      </c>
      <c r="U152" s="4" t="n">
        <v>114.208078</v>
      </c>
    </row>
    <row r="153" customFormat="false" ht="15" hidden="false" customHeight="false" outlineLevel="0" collapsed="false">
      <c r="A153" s="2" t="s">
        <v>664</v>
      </c>
      <c r="B153" s="2" t="s">
        <v>665</v>
      </c>
      <c r="C153" s="3" t="s">
        <v>666</v>
      </c>
      <c r="D153" s="2" t="s">
        <v>351</v>
      </c>
      <c r="E153" s="2" t="s">
        <v>110</v>
      </c>
      <c r="F153" s="2" t="s">
        <v>667</v>
      </c>
      <c r="G153" s="4" t="n">
        <v>22.31662</v>
      </c>
      <c r="H153" s="4" t="n">
        <v>114.187342</v>
      </c>
      <c r="I153" s="2" t="n">
        <v>2.99</v>
      </c>
      <c r="J153" s="2" t="n">
        <v>2</v>
      </c>
      <c r="K153" s="4" t="n">
        <v>22.318865</v>
      </c>
      <c r="L153" s="4" t="n">
        <v>114.214648</v>
      </c>
      <c r="M153" s="2" t="s">
        <v>76</v>
      </c>
      <c r="N153" s="8" t="s">
        <v>77</v>
      </c>
      <c r="O153" s="2" t="s">
        <v>668</v>
      </c>
      <c r="P153" s="6"/>
      <c r="Q153" s="6"/>
      <c r="R153" s="7" t="n">
        <f aca="false">IF(AND(ISNUMBER(P153),ISNUMBER(Q153)),P153,K153)</f>
        <v>22.318865</v>
      </c>
      <c r="S153" s="7" t="n">
        <f aca="false">IF(AND(ISNUMBER(P153),ISNUMBER(Q153)),Q153,L153)</f>
        <v>114.214648</v>
      </c>
      <c r="T153" s="4" t="n">
        <v>22.316921</v>
      </c>
      <c r="U153" s="4" t="n">
        <v>114.21639</v>
      </c>
    </row>
    <row r="154" customFormat="false" ht="15" hidden="false" customHeight="false" outlineLevel="0" collapsed="false">
      <c r="A154" s="2" t="s">
        <v>669</v>
      </c>
      <c r="B154" s="2" t="s">
        <v>670</v>
      </c>
      <c r="C154" s="3" t="s">
        <v>671</v>
      </c>
      <c r="D154" s="2" t="s">
        <v>564</v>
      </c>
      <c r="E154" s="2" t="s">
        <v>74</v>
      </c>
      <c r="F154" s="2" t="s">
        <v>550</v>
      </c>
      <c r="G154" s="4" t="n">
        <v>22.503902</v>
      </c>
      <c r="H154" s="4" t="n">
        <v>114.103376</v>
      </c>
      <c r="I154" s="2" t="n">
        <v>2.96</v>
      </c>
      <c r="J154" s="2" t="n">
        <v>2</v>
      </c>
      <c r="K154" s="4" t="n">
        <v>22.499317</v>
      </c>
      <c r="L154" s="4" t="n">
        <v>114.073333</v>
      </c>
      <c r="M154" s="2" t="s">
        <v>76</v>
      </c>
      <c r="N154" s="8" t="s">
        <v>77</v>
      </c>
      <c r="O154" s="2" t="s">
        <v>551</v>
      </c>
      <c r="P154" s="6"/>
      <c r="Q154" s="6"/>
      <c r="R154" s="7" t="n">
        <f aca="false">IF(AND(ISNUMBER(P154),ISNUMBER(Q154)),P154,K154)</f>
        <v>22.499317</v>
      </c>
      <c r="S154" s="7" t="n">
        <f aca="false">IF(AND(ISNUMBER(P154),ISNUMBER(Q154)),Q154,L154)</f>
        <v>114.073333</v>
      </c>
      <c r="T154" s="4" t="n">
        <v>22.501033</v>
      </c>
      <c r="U154" s="4" t="n">
        <v>114.074653</v>
      </c>
    </row>
    <row r="155" customFormat="false" ht="15" hidden="false" customHeight="false" outlineLevel="0" collapsed="false">
      <c r="A155" s="2" t="s">
        <v>672</v>
      </c>
      <c r="B155" s="2" t="s">
        <v>673</v>
      </c>
      <c r="C155" s="3" t="s">
        <v>206</v>
      </c>
      <c r="D155" s="2" t="s">
        <v>674</v>
      </c>
      <c r="E155" s="2" t="s">
        <v>74</v>
      </c>
      <c r="F155" s="2" t="s">
        <v>675</v>
      </c>
      <c r="G155" s="4" t="n">
        <v>22.45411</v>
      </c>
      <c r="H155" s="4" t="n">
        <v>114.164811</v>
      </c>
      <c r="I155" s="2" t="n">
        <v>2.93</v>
      </c>
      <c r="J155" s="2" t="n">
        <v>2</v>
      </c>
      <c r="K155" s="4" t="n">
        <v>22.433535</v>
      </c>
      <c r="L155" s="4" t="n">
        <v>114.183833</v>
      </c>
      <c r="M155" s="2" t="s">
        <v>76</v>
      </c>
      <c r="N155" s="8" t="s">
        <v>77</v>
      </c>
      <c r="O155" s="2" t="s">
        <v>676</v>
      </c>
      <c r="P155" s="6"/>
      <c r="Q155" s="6"/>
      <c r="R155" s="7" t="n">
        <f aca="false">IF(AND(ISNUMBER(P155),ISNUMBER(Q155)),P155,K155)</f>
        <v>22.433535</v>
      </c>
      <c r="S155" s="7" t="n">
        <f aca="false">IF(AND(ISNUMBER(P155),ISNUMBER(Q155)),Q155,L155)</f>
        <v>114.183833</v>
      </c>
      <c r="T155" s="4" t="n">
        <v>22.435306</v>
      </c>
      <c r="U155" s="4" t="n">
        <v>114.184956</v>
      </c>
    </row>
    <row r="156" customFormat="false" ht="15" hidden="false" customHeight="false" outlineLevel="0" collapsed="false">
      <c r="A156" s="2" t="s">
        <v>677</v>
      </c>
      <c r="B156" s="2" t="s">
        <v>678</v>
      </c>
      <c r="C156" s="3" t="s">
        <v>679</v>
      </c>
      <c r="D156" s="2" t="s">
        <v>564</v>
      </c>
      <c r="E156" s="2" t="s">
        <v>74</v>
      </c>
      <c r="F156" s="2" t="s">
        <v>550</v>
      </c>
      <c r="G156" s="4" t="n">
        <v>22.503688</v>
      </c>
      <c r="H156" s="4" t="n">
        <v>114.102861</v>
      </c>
      <c r="I156" s="2" t="n">
        <v>2.91</v>
      </c>
      <c r="J156" s="2" t="n">
        <v>2</v>
      </c>
      <c r="K156" s="4" t="n">
        <v>22.501117</v>
      </c>
      <c r="L156" s="4" t="n">
        <v>114.072125</v>
      </c>
      <c r="M156" s="2" t="s">
        <v>76</v>
      </c>
      <c r="N156" s="8" t="s">
        <v>77</v>
      </c>
      <c r="O156" s="2" t="s">
        <v>551</v>
      </c>
      <c r="P156" s="6"/>
      <c r="Q156" s="6"/>
      <c r="R156" s="7" t="n">
        <f aca="false">IF(AND(ISNUMBER(P156),ISNUMBER(Q156)),P156,K156)</f>
        <v>22.501117</v>
      </c>
      <c r="S156" s="7" t="n">
        <f aca="false">IF(AND(ISNUMBER(P156),ISNUMBER(Q156)),Q156,L156)</f>
        <v>114.072125</v>
      </c>
      <c r="T156" s="4" t="n">
        <v>22.501033</v>
      </c>
      <c r="U156" s="4" t="n">
        <v>114.074653</v>
      </c>
    </row>
    <row r="157" customFormat="false" ht="15" hidden="false" customHeight="false" outlineLevel="0" collapsed="false">
      <c r="A157" s="2" t="s">
        <v>680</v>
      </c>
      <c r="B157" s="2" t="s">
        <v>681</v>
      </c>
      <c r="C157" s="3" t="s">
        <v>682</v>
      </c>
      <c r="D157" s="2" t="s">
        <v>98</v>
      </c>
      <c r="E157" s="2" t="s">
        <v>25</v>
      </c>
      <c r="F157" s="2" t="s">
        <v>645</v>
      </c>
      <c r="G157" s="4" t="n">
        <v>22.278927</v>
      </c>
      <c r="H157" s="4" t="n">
        <v>114.189227</v>
      </c>
      <c r="I157" s="2" t="n">
        <v>2.86</v>
      </c>
      <c r="J157" s="2" t="n">
        <v>2</v>
      </c>
      <c r="K157" s="4" t="n">
        <v>22.300475</v>
      </c>
      <c r="L157" s="4" t="n">
        <v>114.176089</v>
      </c>
      <c r="M157" s="2" t="s">
        <v>76</v>
      </c>
      <c r="N157" s="8" t="s">
        <v>77</v>
      </c>
      <c r="O157" s="2" t="s">
        <v>646</v>
      </c>
      <c r="P157" s="6"/>
      <c r="Q157" s="6"/>
      <c r="R157" s="7" t="n">
        <f aca="false">IF(AND(ISNUMBER(P157),ISNUMBER(Q157)),P157,K157)</f>
        <v>22.300475</v>
      </c>
      <c r="S157" s="7" t="n">
        <f aca="false">IF(AND(ISNUMBER(P157),ISNUMBER(Q157)),Q157,L157)</f>
        <v>114.176089</v>
      </c>
      <c r="T157" s="4" t="n">
        <v>22.300832</v>
      </c>
      <c r="U157" s="4" t="n">
        <v>114.174579</v>
      </c>
    </row>
    <row r="158" customFormat="false" ht="15" hidden="false" customHeight="false" outlineLevel="0" collapsed="false">
      <c r="A158" s="2" t="s">
        <v>683</v>
      </c>
      <c r="B158" s="2" t="s">
        <v>684</v>
      </c>
      <c r="C158" s="3" t="s">
        <v>685</v>
      </c>
      <c r="D158" s="2" t="s">
        <v>213</v>
      </c>
      <c r="E158" s="2" t="s">
        <v>74</v>
      </c>
      <c r="F158" s="2" t="s">
        <v>686</v>
      </c>
      <c r="G158" s="4" t="n">
        <v>22.469274</v>
      </c>
      <c r="H158" s="4" t="n">
        <v>114.207527</v>
      </c>
      <c r="I158" s="2" t="n">
        <v>2.85</v>
      </c>
      <c r="J158" s="2" t="n">
        <v>2</v>
      </c>
      <c r="K158" s="4" t="n">
        <v>22.475144</v>
      </c>
      <c r="L158" s="4" t="n">
        <v>114.23604</v>
      </c>
      <c r="M158" s="2" t="s">
        <v>76</v>
      </c>
      <c r="N158" s="8" t="s">
        <v>77</v>
      </c>
      <c r="O158" s="2" t="s">
        <v>687</v>
      </c>
      <c r="P158" s="6"/>
      <c r="Q158" s="6"/>
      <c r="R158" s="7" t="n">
        <f aca="false">IF(AND(ISNUMBER(P158),ISNUMBER(Q158)),P158,K158)</f>
        <v>22.475144</v>
      </c>
      <c r="S158" s="7" t="n">
        <f aca="false">IF(AND(ISNUMBER(P158),ISNUMBER(Q158)),Q158,L158)</f>
        <v>114.23604</v>
      </c>
      <c r="T158" s="4" t="n">
        <v>22.475091</v>
      </c>
      <c r="U158" s="4" t="n">
        <v>114.234613</v>
      </c>
    </row>
    <row r="159" customFormat="false" ht="15" hidden="false" customHeight="false" outlineLevel="0" collapsed="false">
      <c r="A159" s="2" t="s">
        <v>688</v>
      </c>
      <c r="B159" s="2" t="s">
        <v>689</v>
      </c>
      <c r="C159" s="3" t="s">
        <v>690</v>
      </c>
      <c r="D159" s="2" t="s">
        <v>213</v>
      </c>
      <c r="E159" s="2" t="s">
        <v>74</v>
      </c>
      <c r="F159" s="2" t="s">
        <v>686</v>
      </c>
      <c r="G159" s="4" t="n">
        <v>22.469274</v>
      </c>
      <c r="H159" s="4" t="n">
        <v>114.207527</v>
      </c>
      <c r="I159" s="2" t="n">
        <v>2.85</v>
      </c>
      <c r="J159" s="2" t="n">
        <v>2</v>
      </c>
      <c r="K159" s="4" t="n">
        <v>22.473231</v>
      </c>
      <c r="L159" s="4" t="n">
        <v>114.233719</v>
      </c>
      <c r="M159" s="2" t="s">
        <v>76</v>
      </c>
      <c r="N159" s="8" t="s">
        <v>77</v>
      </c>
      <c r="O159" s="2" t="s">
        <v>687</v>
      </c>
      <c r="P159" s="6"/>
      <c r="Q159" s="6"/>
      <c r="R159" s="7" t="n">
        <f aca="false">IF(AND(ISNUMBER(P159),ISNUMBER(Q159)),P159,K159)</f>
        <v>22.473231</v>
      </c>
      <c r="S159" s="7" t="n">
        <f aca="false">IF(AND(ISNUMBER(P159),ISNUMBER(Q159)),Q159,L159)</f>
        <v>114.233719</v>
      </c>
      <c r="T159" s="4" t="n">
        <v>22.475091</v>
      </c>
      <c r="U159" s="4" t="n">
        <v>114.234613</v>
      </c>
    </row>
    <row r="160" customFormat="false" ht="15" hidden="false" customHeight="false" outlineLevel="0" collapsed="false">
      <c r="A160" s="2" t="s">
        <v>691</v>
      </c>
      <c r="B160" s="2" t="s">
        <v>692</v>
      </c>
      <c r="C160" s="3" t="s">
        <v>693</v>
      </c>
      <c r="D160" s="2" t="s">
        <v>213</v>
      </c>
      <c r="E160" s="2" t="s">
        <v>74</v>
      </c>
      <c r="F160" s="2" t="s">
        <v>686</v>
      </c>
      <c r="G160" s="4" t="n">
        <v>22.469274</v>
      </c>
      <c r="H160" s="4" t="n">
        <v>114.207527</v>
      </c>
      <c r="I160" s="2" t="n">
        <v>2.85</v>
      </c>
      <c r="J160" s="2" t="n">
        <v>2</v>
      </c>
      <c r="K160" s="4" t="n">
        <v>22.475814</v>
      </c>
      <c r="L160" s="4" t="n">
        <v>114.235083</v>
      </c>
      <c r="M160" s="2" t="s">
        <v>76</v>
      </c>
      <c r="N160" s="8" t="s">
        <v>77</v>
      </c>
      <c r="O160" s="2" t="s">
        <v>687</v>
      </c>
      <c r="P160" s="6"/>
      <c r="Q160" s="6"/>
      <c r="R160" s="7" t="n">
        <f aca="false">IF(AND(ISNUMBER(P160),ISNUMBER(Q160)),P160,K160)</f>
        <v>22.475814</v>
      </c>
      <c r="S160" s="7" t="n">
        <f aca="false">IF(AND(ISNUMBER(P160),ISNUMBER(Q160)),Q160,L160)</f>
        <v>114.235083</v>
      </c>
      <c r="T160" s="4" t="n">
        <v>22.475091</v>
      </c>
      <c r="U160" s="4" t="n">
        <v>114.234613</v>
      </c>
    </row>
    <row r="161" customFormat="false" ht="15" hidden="false" customHeight="false" outlineLevel="0" collapsed="false">
      <c r="A161" s="2" t="s">
        <v>694</v>
      </c>
      <c r="B161" s="2" t="s">
        <v>695</v>
      </c>
      <c r="C161" s="3" t="s">
        <v>696</v>
      </c>
      <c r="D161" s="2" t="s">
        <v>213</v>
      </c>
      <c r="E161" s="2" t="s">
        <v>74</v>
      </c>
      <c r="F161" s="2" t="s">
        <v>686</v>
      </c>
      <c r="G161" s="4" t="n">
        <v>22.469274</v>
      </c>
      <c r="H161" s="4" t="n">
        <v>114.207527</v>
      </c>
      <c r="I161" s="2" t="n">
        <v>2.85</v>
      </c>
      <c r="J161" s="2" t="n">
        <v>2</v>
      </c>
      <c r="K161" s="4" t="n">
        <v>22.47382</v>
      </c>
      <c r="L161" s="4" t="n">
        <v>114.232734</v>
      </c>
      <c r="M161" s="2" t="s">
        <v>76</v>
      </c>
      <c r="N161" s="8" t="s">
        <v>77</v>
      </c>
      <c r="O161" s="2" t="s">
        <v>687</v>
      </c>
      <c r="P161" s="6"/>
      <c r="Q161" s="6"/>
      <c r="R161" s="7" t="n">
        <f aca="false">IF(AND(ISNUMBER(P161),ISNUMBER(Q161)),P161,K161)</f>
        <v>22.47382</v>
      </c>
      <c r="S161" s="7" t="n">
        <f aca="false">IF(AND(ISNUMBER(P161),ISNUMBER(Q161)),Q161,L161)</f>
        <v>114.232734</v>
      </c>
      <c r="T161" s="4" t="n">
        <v>22.475091</v>
      </c>
      <c r="U161" s="4" t="n">
        <v>114.234613</v>
      </c>
    </row>
    <row r="162" customFormat="false" ht="15" hidden="false" customHeight="false" outlineLevel="0" collapsed="false">
      <c r="A162" s="2" t="s">
        <v>697</v>
      </c>
      <c r="B162" s="2" t="s">
        <v>698</v>
      </c>
      <c r="C162" s="3" t="s">
        <v>699</v>
      </c>
      <c r="D162" s="2" t="s">
        <v>213</v>
      </c>
      <c r="E162" s="2" t="s">
        <v>74</v>
      </c>
      <c r="F162" s="2" t="s">
        <v>686</v>
      </c>
      <c r="G162" s="4" t="n">
        <v>22.469274</v>
      </c>
      <c r="H162" s="4" t="n">
        <v>114.207527</v>
      </c>
      <c r="I162" s="2" t="n">
        <v>2.85</v>
      </c>
      <c r="J162" s="2" t="n">
        <v>2</v>
      </c>
      <c r="K162" s="4" t="n">
        <v>22.475607</v>
      </c>
      <c r="L162" s="4" t="n">
        <v>114.234769</v>
      </c>
      <c r="M162" s="2" t="s">
        <v>76</v>
      </c>
      <c r="N162" s="8" t="s">
        <v>77</v>
      </c>
      <c r="O162" s="2" t="s">
        <v>687</v>
      </c>
      <c r="P162" s="6"/>
      <c r="Q162" s="6"/>
      <c r="R162" s="7" t="n">
        <f aca="false">IF(AND(ISNUMBER(P162),ISNUMBER(Q162)),P162,K162)</f>
        <v>22.475607</v>
      </c>
      <c r="S162" s="7" t="n">
        <f aca="false">IF(AND(ISNUMBER(P162),ISNUMBER(Q162)),Q162,L162)</f>
        <v>114.234769</v>
      </c>
      <c r="T162" s="4" t="n">
        <v>22.475091</v>
      </c>
      <c r="U162" s="4" t="n">
        <v>114.234613</v>
      </c>
    </row>
    <row r="163" customFormat="false" ht="15" hidden="false" customHeight="false" outlineLevel="0" collapsed="false">
      <c r="A163" s="2" t="s">
        <v>700</v>
      </c>
      <c r="B163" s="2" t="s">
        <v>701</v>
      </c>
      <c r="C163" s="3" t="s">
        <v>702</v>
      </c>
      <c r="D163" s="2" t="s">
        <v>564</v>
      </c>
      <c r="E163" s="2" t="s">
        <v>74</v>
      </c>
      <c r="F163" s="2" t="s">
        <v>550</v>
      </c>
      <c r="G163" s="4" t="n">
        <v>22.509586</v>
      </c>
      <c r="H163" s="4" t="n">
        <v>114.100254</v>
      </c>
      <c r="I163" s="2" t="n">
        <v>2.79</v>
      </c>
      <c r="J163" s="2" t="n">
        <v>2</v>
      </c>
      <c r="K163" s="4" t="n">
        <v>22.501736</v>
      </c>
      <c r="L163" s="4" t="n">
        <v>114.07521</v>
      </c>
      <c r="M163" s="2" t="s">
        <v>76</v>
      </c>
      <c r="N163" s="8" t="s">
        <v>77</v>
      </c>
      <c r="O163" s="2" t="s">
        <v>551</v>
      </c>
      <c r="P163" s="6"/>
      <c r="Q163" s="6"/>
      <c r="R163" s="7" t="n">
        <f aca="false">IF(AND(ISNUMBER(P163),ISNUMBER(Q163)),P163,K163)</f>
        <v>22.501736</v>
      </c>
      <c r="S163" s="7" t="n">
        <f aca="false">IF(AND(ISNUMBER(P163),ISNUMBER(Q163)),Q163,L163)</f>
        <v>114.07521</v>
      </c>
      <c r="T163" s="4" t="n">
        <v>22.501033</v>
      </c>
      <c r="U163" s="4" t="n">
        <v>114.074653</v>
      </c>
    </row>
    <row r="164" customFormat="false" ht="15" hidden="false" customHeight="false" outlineLevel="0" collapsed="false">
      <c r="A164" s="2" t="s">
        <v>703</v>
      </c>
      <c r="B164" s="2" t="s">
        <v>704</v>
      </c>
      <c r="C164" s="3" t="s">
        <v>705</v>
      </c>
      <c r="D164" s="2" t="s">
        <v>315</v>
      </c>
      <c r="E164" s="2" t="s">
        <v>49</v>
      </c>
      <c r="F164" s="2" t="s">
        <v>706</v>
      </c>
      <c r="G164" s="4" t="n">
        <v>22.39772</v>
      </c>
      <c r="H164" s="4" t="n">
        <v>113.974286</v>
      </c>
      <c r="I164" s="2" t="n">
        <v>2.73</v>
      </c>
      <c r="J164" s="2" t="n">
        <v>2</v>
      </c>
      <c r="K164" s="4" t="n">
        <v>22.422584</v>
      </c>
      <c r="L164" s="4" t="n">
        <v>113.984253</v>
      </c>
      <c r="M164" s="2" t="s">
        <v>76</v>
      </c>
      <c r="N164" s="8" t="s">
        <v>77</v>
      </c>
      <c r="O164" s="2" t="s">
        <v>707</v>
      </c>
      <c r="P164" s="6"/>
      <c r="Q164" s="6"/>
      <c r="R164" s="7" t="n">
        <f aca="false">IF(AND(ISNUMBER(P164),ISNUMBER(Q164)),P164,K164)</f>
        <v>22.422584</v>
      </c>
      <c r="S164" s="7" t="n">
        <f aca="false">IF(AND(ISNUMBER(P164),ISNUMBER(Q164)),Q164,L164)</f>
        <v>113.984253</v>
      </c>
      <c r="T164" s="4" t="n">
        <v>22.420101</v>
      </c>
      <c r="U164" s="4" t="n">
        <v>113.985154</v>
      </c>
    </row>
    <row r="165" customFormat="false" ht="15" hidden="false" customHeight="false" outlineLevel="0" collapsed="false">
      <c r="A165" s="2" t="s">
        <v>708</v>
      </c>
      <c r="B165" s="2" t="s">
        <v>709</v>
      </c>
      <c r="C165" s="3" t="s">
        <v>710</v>
      </c>
      <c r="D165" s="2" t="s">
        <v>711</v>
      </c>
      <c r="E165" s="2" t="s">
        <v>74</v>
      </c>
      <c r="F165" s="2" t="s">
        <v>712</v>
      </c>
      <c r="G165" s="4" t="n">
        <v>22.45919</v>
      </c>
      <c r="H165" s="4" t="n">
        <v>114.060843</v>
      </c>
      <c r="I165" s="2" t="n">
        <v>2.61</v>
      </c>
      <c r="J165" s="2" t="n">
        <v>2</v>
      </c>
      <c r="K165" s="4" t="n">
        <v>22.481291</v>
      </c>
      <c r="L165" s="4" t="n">
        <v>114.057428</v>
      </c>
      <c r="M165" s="2" t="s">
        <v>76</v>
      </c>
      <c r="N165" s="8" t="s">
        <v>77</v>
      </c>
      <c r="O165" s="2" t="s">
        <v>713</v>
      </c>
      <c r="P165" s="6"/>
      <c r="Q165" s="6"/>
      <c r="R165" s="7" t="n">
        <f aca="false">IF(AND(ISNUMBER(P165),ISNUMBER(Q165)),P165,K165)</f>
        <v>22.481291</v>
      </c>
      <c r="S165" s="7" t="n">
        <f aca="false">IF(AND(ISNUMBER(P165),ISNUMBER(Q165)),Q165,L165)</f>
        <v>114.057428</v>
      </c>
      <c r="T165" s="4" t="n">
        <v>22.482644</v>
      </c>
      <c r="U165" s="4" t="n">
        <v>114.059219</v>
      </c>
    </row>
    <row r="166" customFormat="false" ht="15" hidden="false" customHeight="false" outlineLevel="0" collapsed="false">
      <c r="A166" s="2" t="s">
        <v>714</v>
      </c>
      <c r="B166" s="2" t="s">
        <v>715</v>
      </c>
      <c r="C166" s="3" t="s">
        <v>716</v>
      </c>
      <c r="D166" s="2" t="s">
        <v>717</v>
      </c>
      <c r="E166" s="2" t="s">
        <v>123</v>
      </c>
      <c r="F166" s="2" t="s">
        <v>718</v>
      </c>
      <c r="G166" s="4" t="n">
        <v>22.328939</v>
      </c>
      <c r="H166" s="4" t="n">
        <v>114.166018</v>
      </c>
      <c r="I166" s="2" t="n">
        <v>2.58</v>
      </c>
      <c r="J166" s="2" t="n">
        <v>2</v>
      </c>
      <c r="K166" s="4" t="n">
        <v>22.32767</v>
      </c>
      <c r="L166" s="4" t="n">
        <v>114.190197</v>
      </c>
      <c r="M166" s="2" t="s">
        <v>76</v>
      </c>
      <c r="N166" s="8" t="s">
        <v>77</v>
      </c>
      <c r="O166" s="2" t="s">
        <v>719</v>
      </c>
      <c r="P166" s="6"/>
      <c r="Q166" s="6"/>
      <c r="R166" s="7" t="n">
        <f aca="false">IF(AND(ISNUMBER(P166),ISNUMBER(Q166)),P166,K166)</f>
        <v>22.32767</v>
      </c>
      <c r="S166" s="7" t="n">
        <f aca="false">IF(AND(ISNUMBER(P166),ISNUMBER(Q166)),Q166,L166)</f>
        <v>114.190197</v>
      </c>
      <c r="T166" s="4" t="n">
        <v>22.329519</v>
      </c>
      <c r="U166" s="4" t="n">
        <v>114.19113</v>
      </c>
    </row>
    <row r="167" customFormat="false" ht="15" hidden="false" customHeight="false" outlineLevel="0" collapsed="false">
      <c r="A167" s="2" t="s">
        <v>720</v>
      </c>
      <c r="B167" s="2" t="s">
        <v>721</v>
      </c>
      <c r="C167" s="3" t="s">
        <v>722</v>
      </c>
      <c r="D167" s="2" t="s">
        <v>564</v>
      </c>
      <c r="E167" s="2" t="s">
        <v>74</v>
      </c>
      <c r="F167" s="2" t="s">
        <v>550</v>
      </c>
      <c r="G167" s="4" t="n">
        <v>22.504875</v>
      </c>
      <c r="H167" s="4" t="n">
        <v>114.09864</v>
      </c>
      <c r="I167" s="2" t="n">
        <v>2.5</v>
      </c>
      <c r="J167" s="2" t="n">
        <v>2</v>
      </c>
      <c r="K167" s="4" t="n">
        <v>22.499131</v>
      </c>
      <c r="L167" s="4" t="n">
        <v>114.074486</v>
      </c>
      <c r="M167" s="2" t="s">
        <v>76</v>
      </c>
      <c r="N167" s="8" t="s">
        <v>77</v>
      </c>
      <c r="O167" s="2" t="s">
        <v>551</v>
      </c>
      <c r="P167" s="6"/>
      <c r="Q167" s="6"/>
      <c r="R167" s="7" t="n">
        <f aca="false">IF(AND(ISNUMBER(P167),ISNUMBER(Q167)),P167,K167)</f>
        <v>22.499131</v>
      </c>
      <c r="S167" s="7" t="n">
        <f aca="false">IF(AND(ISNUMBER(P167),ISNUMBER(Q167)),Q167,L167)</f>
        <v>114.074486</v>
      </c>
      <c r="T167" s="4" t="n">
        <v>22.501033</v>
      </c>
      <c r="U167" s="4" t="n">
        <v>114.074653</v>
      </c>
    </row>
    <row r="168" customFormat="false" ht="15" hidden="false" customHeight="false" outlineLevel="0" collapsed="false">
      <c r="A168" s="2" t="s">
        <v>723</v>
      </c>
      <c r="B168" s="2" t="s">
        <v>724</v>
      </c>
      <c r="C168" s="3" t="s">
        <v>725</v>
      </c>
      <c r="D168" s="2" t="s">
        <v>195</v>
      </c>
      <c r="E168" s="2" t="s">
        <v>196</v>
      </c>
      <c r="F168" s="2" t="s">
        <v>726</v>
      </c>
      <c r="G168" s="4" t="n">
        <v>22.386298</v>
      </c>
      <c r="H168" s="4" t="n">
        <v>114.185504</v>
      </c>
      <c r="I168" s="2" t="n">
        <v>2.48</v>
      </c>
      <c r="J168" s="2" t="n">
        <v>2</v>
      </c>
      <c r="K168" s="4" t="n">
        <v>22.369002</v>
      </c>
      <c r="L168" s="4" t="n">
        <v>114.166682</v>
      </c>
      <c r="M168" s="2" t="s">
        <v>76</v>
      </c>
      <c r="N168" s="8" t="s">
        <v>77</v>
      </c>
      <c r="O168" s="2" t="s">
        <v>727</v>
      </c>
      <c r="P168" s="6"/>
      <c r="Q168" s="6"/>
      <c r="R168" s="7" t="n">
        <f aca="false">IF(AND(ISNUMBER(P168),ISNUMBER(Q168)),P168,K168)</f>
        <v>22.369002</v>
      </c>
      <c r="S168" s="7" t="n">
        <f aca="false">IF(AND(ISNUMBER(P168),ISNUMBER(Q168)),Q168,L168)</f>
        <v>114.166682</v>
      </c>
      <c r="T168" s="4" t="n">
        <v>22.370192</v>
      </c>
      <c r="U168" s="4" t="n">
        <v>114.168693</v>
      </c>
    </row>
    <row r="169" customFormat="false" ht="15" hidden="false" customHeight="false" outlineLevel="0" collapsed="false">
      <c r="A169" s="2" t="s">
        <v>728</v>
      </c>
      <c r="B169" s="2" t="s">
        <v>729</v>
      </c>
      <c r="C169" s="3" t="s">
        <v>730</v>
      </c>
      <c r="D169" s="2" t="s">
        <v>731</v>
      </c>
      <c r="E169" s="2" t="s">
        <v>123</v>
      </c>
      <c r="F169" s="2" t="s">
        <v>732</v>
      </c>
      <c r="G169" s="4" t="n">
        <v>22.312823</v>
      </c>
      <c r="H169" s="4" t="n">
        <v>114.167673</v>
      </c>
      <c r="I169" s="2" t="n">
        <v>2.46</v>
      </c>
      <c r="J169" s="2" t="n">
        <v>2</v>
      </c>
      <c r="K169" s="4" t="n">
        <v>22.334861</v>
      </c>
      <c r="L169" s="4" t="n">
        <v>114.158157</v>
      </c>
      <c r="M169" s="2" t="s">
        <v>76</v>
      </c>
      <c r="N169" s="8" t="s">
        <v>77</v>
      </c>
      <c r="O169" s="2" t="s">
        <v>733</v>
      </c>
      <c r="P169" s="6"/>
      <c r="Q169" s="6"/>
      <c r="R169" s="7" t="n">
        <f aca="false">IF(AND(ISNUMBER(P169),ISNUMBER(Q169)),P169,K169)</f>
        <v>22.334861</v>
      </c>
      <c r="S169" s="7" t="n">
        <f aca="false">IF(AND(ISNUMBER(P169),ISNUMBER(Q169)),Q169,L169)</f>
        <v>114.158157</v>
      </c>
      <c r="T169" s="4" t="n">
        <v>22.333968</v>
      </c>
      <c r="U169" s="4" t="n">
        <v>114.160615</v>
      </c>
    </row>
    <row r="170" customFormat="false" ht="15" hidden="false" customHeight="false" outlineLevel="0" collapsed="false">
      <c r="A170" s="2" t="s">
        <v>734</v>
      </c>
      <c r="B170" s="2" t="s">
        <v>735</v>
      </c>
      <c r="C170" s="3" t="s">
        <v>736</v>
      </c>
      <c r="D170" s="2" t="s">
        <v>73</v>
      </c>
      <c r="E170" s="2" t="s">
        <v>74</v>
      </c>
      <c r="F170" s="2" t="s">
        <v>737</v>
      </c>
      <c r="G170" s="4" t="n">
        <v>22.490227</v>
      </c>
      <c r="H170" s="4" t="n">
        <v>114.119107</v>
      </c>
      <c r="I170" s="2" t="n">
        <v>2.4</v>
      </c>
      <c r="J170" s="2" t="n">
        <v>2</v>
      </c>
      <c r="K170" s="4" t="n">
        <v>22.509563</v>
      </c>
      <c r="L170" s="4" t="n">
        <v>114.123544</v>
      </c>
      <c r="M170" s="2" t="s">
        <v>76</v>
      </c>
      <c r="N170" s="8" t="s">
        <v>77</v>
      </c>
      <c r="O170" s="2" t="s">
        <v>738</v>
      </c>
      <c r="P170" s="6"/>
      <c r="Q170" s="6"/>
      <c r="R170" s="7" t="n">
        <f aca="false">IF(AND(ISNUMBER(P170),ISNUMBER(Q170)),P170,K170)</f>
        <v>22.509563</v>
      </c>
      <c r="S170" s="7" t="n">
        <f aca="false">IF(AND(ISNUMBER(P170),ISNUMBER(Q170)),Q170,L170)</f>
        <v>114.123544</v>
      </c>
      <c r="T170" s="4" t="n">
        <v>22.511052</v>
      </c>
      <c r="U170" s="4" t="n">
        <v>114.125232</v>
      </c>
    </row>
    <row r="171" customFormat="false" ht="15" hidden="false" customHeight="false" outlineLevel="0" collapsed="false">
      <c r="A171" s="2" t="s">
        <v>739</v>
      </c>
      <c r="B171" s="2" t="s">
        <v>740</v>
      </c>
      <c r="C171" s="3" t="s">
        <v>741</v>
      </c>
      <c r="D171" s="2" t="s">
        <v>231</v>
      </c>
      <c r="E171" s="2" t="s">
        <v>123</v>
      </c>
      <c r="F171" s="2" t="s">
        <v>232</v>
      </c>
      <c r="G171" s="4" t="n">
        <v>22.328631</v>
      </c>
      <c r="H171" s="4" t="n">
        <v>114.189454</v>
      </c>
      <c r="I171" s="2" t="n">
        <v>2.38</v>
      </c>
      <c r="J171" s="2" t="n">
        <v>2</v>
      </c>
      <c r="K171" s="4" t="n">
        <v>22.345328</v>
      </c>
      <c r="L171" s="4" t="n">
        <v>114.202866</v>
      </c>
      <c r="M171" s="2" t="s">
        <v>76</v>
      </c>
      <c r="N171" s="8" t="s">
        <v>77</v>
      </c>
      <c r="O171" s="2" t="s">
        <v>233</v>
      </c>
      <c r="P171" s="6"/>
      <c r="Q171" s="6"/>
      <c r="R171" s="7" t="n">
        <f aca="false">IF(AND(ISNUMBER(P171),ISNUMBER(Q171)),P171,K171)</f>
        <v>22.345328</v>
      </c>
      <c r="S171" s="7" t="n">
        <f aca="false">IF(AND(ISNUMBER(P171),ISNUMBER(Q171)),Q171,L171)</f>
        <v>114.202866</v>
      </c>
      <c r="T171" s="4" t="n">
        <v>22.346728</v>
      </c>
      <c r="U171" s="4" t="n">
        <v>114.201792</v>
      </c>
    </row>
    <row r="172" customFormat="false" ht="15" hidden="false" customHeight="false" outlineLevel="0" collapsed="false">
      <c r="A172" s="2" t="s">
        <v>742</v>
      </c>
      <c r="B172" s="2" t="s">
        <v>743</v>
      </c>
      <c r="C172" s="3" t="s">
        <v>744</v>
      </c>
      <c r="D172" s="2" t="s">
        <v>711</v>
      </c>
      <c r="E172" s="2" t="s">
        <v>74</v>
      </c>
      <c r="F172" s="2" t="s">
        <v>712</v>
      </c>
      <c r="G172" s="4" t="n">
        <v>22.461697</v>
      </c>
      <c r="H172" s="4" t="n">
        <v>114.056296</v>
      </c>
      <c r="I172" s="2" t="n">
        <v>2.34</v>
      </c>
      <c r="J172" s="2" t="n">
        <v>2</v>
      </c>
      <c r="K172" s="4" t="n">
        <v>22.48072</v>
      </c>
      <c r="L172" s="4" t="n">
        <v>114.059128</v>
      </c>
      <c r="M172" s="2" t="s">
        <v>76</v>
      </c>
      <c r="N172" s="8" t="s">
        <v>77</v>
      </c>
      <c r="O172" s="2" t="s">
        <v>713</v>
      </c>
      <c r="P172" s="6"/>
      <c r="Q172" s="6"/>
      <c r="R172" s="7" t="n">
        <f aca="false">IF(AND(ISNUMBER(P172),ISNUMBER(Q172)),P172,K172)</f>
        <v>22.48072</v>
      </c>
      <c r="S172" s="7" t="n">
        <f aca="false">IF(AND(ISNUMBER(P172),ISNUMBER(Q172)),Q172,L172)</f>
        <v>114.059128</v>
      </c>
      <c r="T172" s="4" t="n">
        <v>22.482644</v>
      </c>
      <c r="U172" s="4" t="n">
        <v>114.059219</v>
      </c>
    </row>
    <row r="173" customFormat="false" ht="15" hidden="false" customHeight="false" outlineLevel="0" collapsed="false">
      <c r="A173" s="2" t="s">
        <v>745</v>
      </c>
      <c r="B173" s="2" t="s">
        <v>746</v>
      </c>
      <c r="C173" s="3" t="s">
        <v>747</v>
      </c>
      <c r="D173" s="2" t="s">
        <v>73</v>
      </c>
      <c r="E173" s="2" t="s">
        <v>74</v>
      </c>
      <c r="F173" s="2" t="s">
        <v>737</v>
      </c>
      <c r="G173" s="4" t="n">
        <v>22.490416</v>
      </c>
      <c r="H173" s="4" t="n">
        <v>114.122862</v>
      </c>
      <c r="I173" s="2" t="n">
        <v>2.3</v>
      </c>
      <c r="J173" s="2" t="n">
        <v>2</v>
      </c>
      <c r="K173" s="4" t="n">
        <v>22.509661</v>
      </c>
      <c r="L173" s="4" t="n">
        <v>114.126267</v>
      </c>
      <c r="M173" s="2" t="s">
        <v>76</v>
      </c>
      <c r="N173" s="8" t="s">
        <v>77</v>
      </c>
      <c r="O173" s="2" t="s">
        <v>738</v>
      </c>
      <c r="P173" s="6"/>
      <c r="Q173" s="6"/>
      <c r="R173" s="7" t="n">
        <f aca="false">IF(AND(ISNUMBER(P173),ISNUMBER(Q173)),P173,K173)</f>
        <v>22.509661</v>
      </c>
      <c r="S173" s="7" t="n">
        <f aca="false">IF(AND(ISNUMBER(P173),ISNUMBER(Q173)),Q173,L173)</f>
        <v>114.126267</v>
      </c>
      <c r="T173" s="4" t="n">
        <v>22.511052</v>
      </c>
      <c r="U173" s="4" t="n">
        <v>114.125232</v>
      </c>
    </row>
    <row r="174" customFormat="false" ht="15" hidden="false" customHeight="false" outlineLevel="0" collapsed="false">
      <c r="A174" s="2" t="s">
        <v>748</v>
      </c>
      <c r="B174" s="2" t="s">
        <v>749</v>
      </c>
      <c r="C174" s="3" t="s">
        <v>750</v>
      </c>
      <c r="D174" s="2" t="s">
        <v>315</v>
      </c>
      <c r="E174" s="2" t="s">
        <v>49</v>
      </c>
      <c r="F174" s="2" t="s">
        <v>751</v>
      </c>
      <c r="G174" s="4" t="n">
        <v>22.390245</v>
      </c>
      <c r="H174" s="4" t="n">
        <v>113.979592</v>
      </c>
      <c r="I174" s="2" t="n">
        <v>2.28</v>
      </c>
      <c r="J174" s="2" t="n">
        <v>2</v>
      </c>
      <c r="K174" s="4" t="n">
        <v>22.374627</v>
      </c>
      <c r="L174" s="4" t="n">
        <v>113.9694</v>
      </c>
      <c r="M174" s="2" t="s">
        <v>76</v>
      </c>
      <c r="N174" s="8" t="s">
        <v>77</v>
      </c>
      <c r="O174" s="2" t="s">
        <v>752</v>
      </c>
      <c r="P174" s="6"/>
      <c r="Q174" s="6"/>
      <c r="R174" s="7" t="n">
        <f aca="false">IF(AND(ISNUMBER(P174),ISNUMBER(Q174)),P174,K174)</f>
        <v>22.374627</v>
      </c>
      <c r="S174" s="7" t="n">
        <f aca="false">IF(AND(ISNUMBER(P174),ISNUMBER(Q174)),Q174,L174)</f>
        <v>113.9694</v>
      </c>
      <c r="T174" s="4" t="n">
        <v>22.371959</v>
      </c>
      <c r="U174" s="4" t="n">
        <v>113.969522</v>
      </c>
    </row>
    <row r="175" customFormat="false" ht="15" hidden="false" customHeight="false" outlineLevel="0" collapsed="false">
      <c r="A175" s="2" t="s">
        <v>753</v>
      </c>
      <c r="B175" s="2" t="s">
        <v>754</v>
      </c>
      <c r="C175" s="3" t="s">
        <v>755</v>
      </c>
      <c r="D175" s="2" t="s">
        <v>73</v>
      </c>
      <c r="E175" s="2" t="s">
        <v>74</v>
      </c>
      <c r="F175" s="2" t="s">
        <v>550</v>
      </c>
      <c r="G175" s="4" t="n">
        <v>22.504311</v>
      </c>
      <c r="H175" s="4" t="n">
        <v>114.096165</v>
      </c>
      <c r="I175" s="2" t="n">
        <v>2.24</v>
      </c>
      <c r="J175" s="2" t="n">
        <v>2</v>
      </c>
      <c r="K175" s="4" t="n">
        <v>22.501174</v>
      </c>
      <c r="L175" s="4" t="n">
        <v>114.072109</v>
      </c>
      <c r="M175" s="2" t="s">
        <v>76</v>
      </c>
      <c r="N175" s="8" t="s">
        <v>77</v>
      </c>
      <c r="O175" s="2" t="s">
        <v>551</v>
      </c>
      <c r="P175" s="6"/>
      <c r="Q175" s="6"/>
      <c r="R175" s="7" t="n">
        <f aca="false">IF(AND(ISNUMBER(P175),ISNUMBER(Q175)),P175,K175)</f>
        <v>22.501174</v>
      </c>
      <c r="S175" s="7" t="n">
        <f aca="false">IF(AND(ISNUMBER(P175),ISNUMBER(Q175)),Q175,L175)</f>
        <v>114.072109</v>
      </c>
      <c r="T175" s="4" t="n">
        <v>22.501033</v>
      </c>
      <c r="U175" s="4" t="n">
        <v>114.074653</v>
      </c>
    </row>
    <row r="176" customFormat="false" ht="15" hidden="false" customHeight="false" outlineLevel="0" collapsed="false">
      <c r="A176" s="2" t="s">
        <v>756</v>
      </c>
      <c r="B176" s="2" t="s">
        <v>757</v>
      </c>
      <c r="C176" s="3" t="s">
        <v>758</v>
      </c>
      <c r="D176" s="2" t="s">
        <v>73</v>
      </c>
      <c r="E176" s="2" t="s">
        <v>74</v>
      </c>
      <c r="F176" s="2" t="s">
        <v>737</v>
      </c>
      <c r="G176" s="4" t="n">
        <v>22.491113</v>
      </c>
      <c r="H176" s="4" t="n">
        <v>114.122496</v>
      </c>
      <c r="I176" s="2" t="n">
        <v>2.23</v>
      </c>
      <c r="J176" s="2" t="n">
        <v>2</v>
      </c>
      <c r="K176" s="4" t="n">
        <v>22.510853</v>
      </c>
      <c r="L176" s="4" t="n">
        <v>114.12675</v>
      </c>
      <c r="M176" s="2" t="s">
        <v>76</v>
      </c>
      <c r="N176" s="8" t="s">
        <v>77</v>
      </c>
      <c r="O176" s="2" t="s">
        <v>738</v>
      </c>
      <c r="P176" s="6"/>
      <c r="Q176" s="6"/>
      <c r="R176" s="7" t="n">
        <f aca="false">IF(AND(ISNUMBER(P176),ISNUMBER(Q176)),P176,K176)</f>
        <v>22.510853</v>
      </c>
      <c r="S176" s="7" t="n">
        <f aca="false">IF(AND(ISNUMBER(P176),ISNUMBER(Q176)),Q176,L176)</f>
        <v>114.12675</v>
      </c>
      <c r="T176" s="4" t="n">
        <v>22.511052</v>
      </c>
      <c r="U176" s="4" t="n">
        <v>114.125232</v>
      </c>
    </row>
    <row r="177" customFormat="false" ht="15" hidden="false" customHeight="false" outlineLevel="0" collapsed="false">
      <c r="A177" s="2" t="s">
        <v>759</v>
      </c>
      <c r="B177" s="2" t="s">
        <v>760</v>
      </c>
      <c r="C177" s="3" t="s">
        <v>761</v>
      </c>
      <c r="D177" s="2" t="s">
        <v>213</v>
      </c>
      <c r="E177" s="2" t="s">
        <v>74</v>
      </c>
      <c r="F177" s="2" t="s">
        <v>762</v>
      </c>
      <c r="G177" s="4" t="n">
        <v>22.457237</v>
      </c>
      <c r="H177" s="4" t="n">
        <v>114.176578</v>
      </c>
      <c r="I177" s="2" t="n">
        <v>2.23</v>
      </c>
      <c r="J177" s="2" t="n">
        <v>2</v>
      </c>
      <c r="K177" s="4" t="n">
        <v>22.469381</v>
      </c>
      <c r="L177" s="4" t="n">
        <v>114.195403</v>
      </c>
      <c r="M177" s="2" t="s">
        <v>76</v>
      </c>
      <c r="N177" s="8" t="s">
        <v>77</v>
      </c>
      <c r="O177" s="2" t="s">
        <v>763</v>
      </c>
      <c r="P177" s="6"/>
      <c r="Q177" s="6"/>
      <c r="R177" s="7" t="n">
        <f aca="false">IF(AND(ISNUMBER(P177),ISNUMBER(Q177)),P177,K177)</f>
        <v>22.469381</v>
      </c>
      <c r="S177" s="7" t="n">
        <f aca="false">IF(AND(ISNUMBER(P177),ISNUMBER(Q177)),Q177,L177)</f>
        <v>114.195403</v>
      </c>
      <c r="T177" s="4" t="n">
        <v>22.46899</v>
      </c>
      <c r="U177" s="4" t="n">
        <v>114.194164</v>
      </c>
    </row>
    <row r="178" customFormat="false" ht="15" hidden="false" customHeight="false" outlineLevel="0" collapsed="false">
      <c r="A178" s="2" t="s">
        <v>764</v>
      </c>
      <c r="B178" s="2" t="s">
        <v>765</v>
      </c>
      <c r="C178" s="3" t="s">
        <v>766</v>
      </c>
      <c r="D178" s="2" t="s">
        <v>73</v>
      </c>
      <c r="E178" s="2" t="s">
        <v>74</v>
      </c>
      <c r="F178" s="2" t="s">
        <v>737</v>
      </c>
      <c r="G178" s="4" t="n">
        <v>22.491201</v>
      </c>
      <c r="H178" s="4" t="n">
        <v>114.122982</v>
      </c>
      <c r="I178" s="2" t="n">
        <v>2.22</v>
      </c>
      <c r="J178" s="2" t="n">
        <v>2</v>
      </c>
      <c r="K178" s="4" t="n">
        <v>22.509259</v>
      </c>
      <c r="L178" s="4" t="n">
        <v>114.125731</v>
      </c>
      <c r="M178" s="2" t="s">
        <v>76</v>
      </c>
      <c r="N178" s="8" t="s">
        <v>77</v>
      </c>
      <c r="O178" s="2" t="s">
        <v>738</v>
      </c>
      <c r="P178" s="6"/>
      <c r="Q178" s="6"/>
      <c r="R178" s="7" t="n">
        <f aca="false">IF(AND(ISNUMBER(P178),ISNUMBER(Q178)),P178,K178)</f>
        <v>22.509259</v>
      </c>
      <c r="S178" s="7" t="n">
        <f aca="false">IF(AND(ISNUMBER(P178),ISNUMBER(Q178)),Q178,L178)</f>
        <v>114.125731</v>
      </c>
      <c r="T178" s="4" t="n">
        <v>22.511052</v>
      </c>
      <c r="U178" s="4" t="n">
        <v>114.125232</v>
      </c>
    </row>
    <row r="179" customFormat="false" ht="15" hidden="false" customHeight="false" outlineLevel="0" collapsed="false">
      <c r="A179" s="2" t="s">
        <v>767</v>
      </c>
      <c r="B179" s="2" t="s">
        <v>768</v>
      </c>
      <c r="C179" s="3" t="s">
        <v>769</v>
      </c>
      <c r="D179" s="2" t="s">
        <v>73</v>
      </c>
      <c r="E179" s="2" t="s">
        <v>74</v>
      </c>
      <c r="F179" s="2" t="s">
        <v>737</v>
      </c>
      <c r="G179" s="4" t="n">
        <v>22.49165</v>
      </c>
      <c r="H179" s="4" t="n">
        <v>114.122809</v>
      </c>
      <c r="I179" s="2" t="n">
        <v>2.17</v>
      </c>
      <c r="J179" s="2" t="n">
        <v>2</v>
      </c>
      <c r="K179" s="4" t="n">
        <v>22.509247</v>
      </c>
      <c r="L179" s="4" t="n">
        <v>114.124202</v>
      </c>
      <c r="M179" s="2" t="s">
        <v>76</v>
      </c>
      <c r="N179" s="8" t="s">
        <v>77</v>
      </c>
      <c r="O179" s="2" t="s">
        <v>738</v>
      </c>
      <c r="P179" s="6"/>
      <c r="Q179" s="6"/>
      <c r="R179" s="7" t="n">
        <f aca="false">IF(AND(ISNUMBER(P179),ISNUMBER(Q179)),P179,K179)</f>
        <v>22.509247</v>
      </c>
      <c r="S179" s="7" t="n">
        <f aca="false">IF(AND(ISNUMBER(P179),ISNUMBER(Q179)),Q179,L179)</f>
        <v>114.124202</v>
      </c>
      <c r="T179" s="4" t="n">
        <v>22.511052</v>
      </c>
      <c r="U179" s="4" t="n">
        <v>114.125232</v>
      </c>
    </row>
    <row r="180" customFormat="false" ht="15" hidden="false" customHeight="false" outlineLevel="0" collapsed="false">
      <c r="A180" s="2" t="s">
        <v>770</v>
      </c>
      <c r="B180" s="2" t="s">
        <v>771</v>
      </c>
      <c r="C180" s="3" t="s">
        <v>772</v>
      </c>
      <c r="D180" s="2" t="s">
        <v>773</v>
      </c>
      <c r="E180" s="2" t="s">
        <v>495</v>
      </c>
      <c r="F180" s="2" t="s">
        <v>774</v>
      </c>
      <c r="G180" s="4" t="n">
        <v>22.252489</v>
      </c>
      <c r="H180" s="4" t="n">
        <v>114.135299</v>
      </c>
      <c r="I180" s="2" t="n">
        <v>2.15</v>
      </c>
      <c r="J180" s="2" t="n">
        <v>2</v>
      </c>
      <c r="K180" s="4" t="n">
        <v>22.270449</v>
      </c>
      <c r="L180" s="4" t="n">
        <v>114.122324</v>
      </c>
      <c r="M180" s="2" t="s">
        <v>76</v>
      </c>
      <c r="N180" s="8" t="s">
        <v>77</v>
      </c>
      <c r="O180" s="2" t="s">
        <v>775</v>
      </c>
      <c r="P180" s="6"/>
      <c r="Q180" s="6"/>
      <c r="R180" s="7" t="n">
        <f aca="false">IF(AND(ISNUMBER(P180),ISNUMBER(Q180)),P180,K180)</f>
        <v>22.270449</v>
      </c>
      <c r="S180" s="7" t="n">
        <f aca="false">IF(AND(ISNUMBER(P180),ISNUMBER(Q180)),Q180,L180)</f>
        <v>114.122324</v>
      </c>
      <c r="T180" s="4" t="n">
        <v>22.269192</v>
      </c>
      <c r="U180" s="4" t="n">
        <v>114.124633</v>
      </c>
    </row>
    <row r="181" customFormat="false" ht="15" hidden="false" customHeight="false" outlineLevel="0" collapsed="false">
      <c r="A181" s="2" t="s">
        <v>776</v>
      </c>
      <c r="B181" s="2" t="s">
        <v>777</v>
      </c>
      <c r="C181" s="3" t="s">
        <v>778</v>
      </c>
      <c r="D181" s="2" t="s">
        <v>558</v>
      </c>
      <c r="E181" s="2" t="s">
        <v>25</v>
      </c>
      <c r="F181" s="2" t="s">
        <v>779</v>
      </c>
      <c r="G181" s="4" t="n">
        <v>22.314228</v>
      </c>
      <c r="H181" s="4" t="n">
        <v>114.186813</v>
      </c>
      <c r="I181" s="2" t="n">
        <v>2.12</v>
      </c>
      <c r="J181" s="2" t="n">
        <v>2</v>
      </c>
      <c r="K181" s="4" t="n">
        <v>22.305911</v>
      </c>
      <c r="L181" s="4" t="n">
        <v>114.169225</v>
      </c>
      <c r="M181" s="2" t="s">
        <v>76</v>
      </c>
      <c r="N181" s="8" t="s">
        <v>77</v>
      </c>
      <c r="O181" s="2" t="s">
        <v>780</v>
      </c>
      <c r="P181" s="6"/>
      <c r="Q181" s="6"/>
      <c r="R181" s="7" t="n">
        <f aca="false">IF(AND(ISNUMBER(P181),ISNUMBER(Q181)),P181,K181)</f>
        <v>22.305911</v>
      </c>
      <c r="S181" s="7" t="n">
        <f aca="false">IF(AND(ISNUMBER(P181),ISNUMBER(Q181)),Q181,L181)</f>
        <v>114.169225</v>
      </c>
      <c r="T181" s="4" t="n">
        <v>22.306759</v>
      </c>
      <c r="U181" s="4" t="n">
        <v>114.167764</v>
      </c>
    </row>
    <row r="182" customFormat="false" ht="15" hidden="false" customHeight="false" outlineLevel="0" collapsed="false">
      <c r="A182" s="2" t="s">
        <v>781</v>
      </c>
      <c r="B182" s="2" t="s">
        <v>782</v>
      </c>
      <c r="C182" s="3" t="s">
        <v>783</v>
      </c>
      <c r="D182" s="2" t="s">
        <v>784</v>
      </c>
      <c r="E182" s="2" t="s">
        <v>292</v>
      </c>
      <c r="F182" s="2" t="s">
        <v>785</v>
      </c>
      <c r="G182" s="4" t="n">
        <v>22.315146</v>
      </c>
      <c r="H182" s="4" t="n">
        <v>114.263977</v>
      </c>
      <c r="I182" s="2" t="n">
        <v>2.11</v>
      </c>
      <c r="J182" s="2" t="n">
        <v>2</v>
      </c>
      <c r="K182" s="4" t="n">
        <v>22.297133</v>
      </c>
      <c r="L182" s="4" t="n">
        <v>114.267674</v>
      </c>
      <c r="M182" s="2" t="s">
        <v>76</v>
      </c>
      <c r="N182" s="8" t="s">
        <v>77</v>
      </c>
      <c r="O182" s="2" t="s">
        <v>786</v>
      </c>
      <c r="P182" s="6"/>
      <c r="Q182" s="6"/>
      <c r="R182" s="7" t="n">
        <f aca="false">IF(AND(ISNUMBER(P182),ISNUMBER(Q182)),P182,K182)</f>
        <v>22.297133</v>
      </c>
      <c r="S182" s="7" t="n">
        <f aca="false">IF(AND(ISNUMBER(P182),ISNUMBER(Q182)),Q182,L182)</f>
        <v>114.267674</v>
      </c>
      <c r="T182" s="4" t="n">
        <v>22.297147</v>
      </c>
      <c r="U182" s="4" t="n">
        <v>114.270188</v>
      </c>
    </row>
    <row r="183" customFormat="false" ht="15" hidden="false" customHeight="false" outlineLevel="0" collapsed="false">
      <c r="A183" s="2" t="s">
        <v>787</v>
      </c>
      <c r="B183" s="2" t="s">
        <v>788</v>
      </c>
      <c r="C183" s="3" t="s">
        <v>789</v>
      </c>
      <c r="D183" s="2" t="s">
        <v>219</v>
      </c>
      <c r="E183" s="2" t="s">
        <v>74</v>
      </c>
      <c r="F183" s="2" t="s">
        <v>790</v>
      </c>
      <c r="G183" s="4" t="n">
        <v>22.460746</v>
      </c>
      <c r="H183" s="4" t="n">
        <v>114.157673</v>
      </c>
      <c r="I183" s="2" t="n">
        <v>2.1</v>
      </c>
      <c r="J183" s="2" t="n">
        <v>2</v>
      </c>
      <c r="K183" s="4" t="n">
        <v>22.442293</v>
      </c>
      <c r="L183" s="4" t="n">
        <v>114.162005</v>
      </c>
      <c r="M183" s="2" t="s">
        <v>76</v>
      </c>
      <c r="N183" s="8" t="s">
        <v>77</v>
      </c>
      <c r="O183" s="2" t="s">
        <v>791</v>
      </c>
      <c r="P183" s="6"/>
      <c r="Q183" s="6"/>
      <c r="R183" s="7" t="n">
        <f aca="false">IF(AND(ISNUMBER(P183),ISNUMBER(Q183)),P183,K183)</f>
        <v>22.442293</v>
      </c>
      <c r="S183" s="7" t="n">
        <f aca="false">IF(AND(ISNUMBER(P183),ISNUMBER(Q183)),Q183,L183)</f>
        <v>114.162005</v>
      </c>
      <c r="T183" s="4" t="n">
        <v>22.441748</v>
      </c>
      <c r="U183" s="4" t="n">
        <v>114.161036</v>
      </c>
    </row>
    <row r="184" customFormat="false" ht="15" hidden="false" customHeight="false" outlineLevel="0" collapsed="false">
      <c r="A184" s="2" t="s">
        <v>792</v>
      </c>
      <c r="B184" s="2" t="s">
        <v>793</v>
      </c>
      <c r="C184" s="3" t="s">
        <v>794</v>
      </c>
      <c r="D184" s="2" t="s">
        <v>219</v>
      </c>
      <c r="E184" s="2" t="s">
        <v>74</v>
      </c>
      <c r="F184" s="2" t="s">
        <v>790</v>
      </c>
      <c r="G184" s="4" t="n">
        <v>22.460746</v>
      </c>
      <c r="H184" s="4" t="n">
        <v>114.157673</v>
      </c>
      <c r="I184" s="2" t="n">
        <v>2.1</v>
      </c>
      <c r="J184" s="2" t="n">
        <v>2</v>
      </c>
      <c r="K184" s="4" t="n">
        <v>22.439871</v>
      </c>
      <c r="L184" s="4" t="n">
        <v>114.160276</v>
      </c>
      <c r="M184" s="2" t="s">
        <v>76</v>
      </c>
      <c r="N184" s="8" t="s">
        <v>77</v>
      </c>
      <c r="O184" s="2" t="s">
        <v>791</v>
      </c>
      <c r="P184" s="6"/>
      <c r="Q184" s="6"/>
      <c r="R184" s="7" t="n">
        <f aca="false">IF(AND(ISNUMBER(P184),ISNUMBER(Q184)),P184,K184)</f>
        <v>22.439871</v>
      </c>
      <c r="S184" s="7" t="n">
        <f aca="false">IF(AND(ISNUMBER(P184),ISNUMBER(Q184)),Q184,L184)</f>
        <v>114.160276</v>
      </c>
      <c r="T184" s="4" t="n">
        <v>22.441748</v>
      </c>
      <c r="U184" s="4" t="n">
        <v>114.161036</v>
      </c>
    </row>
    <row r="185" customFormat="false" ht="15" hidden="false" customHeight="false" outlineLevel="0" collapsed="false">
      <c r="A185" s="2" t="s">
        <v>795</v>
      </c>
      <c r="B185" s="2" t="s">
        <v>796</v>
      </c>
      <c r="C185" s="3" t="s">
        <v>797</v>
      </c>
      <c r="D185" s="2" t="s">
        <v>219</v>
      </c>
      <c r="E185" s="2" t="s">
        <v>74</v>
      </c>
      <c r="F185" s="2" t="s">
        <v>790</v>
      </c>
      <c r="G185" s="4" t="n">
        <v>22.460746</v>
      </c>
      <c r="H185" s="4" t="n">
        <v>114.157673</v>
      </c>
      <c r="I185" s="2" t="n">
        <v>2.1</v>
      </c>
      <c r="J185" s="2" t="n">
        <v>2</v>
      </c>
      <c r="K185" s="4" t="n">
        <v>22.441248</v>
      </c>
      <c r="L185" s="4" t="n">
        <v>114.158624</v>
      </c>
      <c r="M185" s="2" t="s">
        <v>76</v>
      </c>
      <c r="N185" s="8" t="s">
        <v>77</v>
      </c>
      <c r="O185" s="2" t="s">
        <v>791</v>
      </c>
      <c r="P185" s="6"/>
      <c r="Q185" s="6"/>
      <c r="R185" s="7" t="n">
        <f aca="false">IF(AND(ISNUMBER(P185),ISNUMBER(Q185)),P185,K185)</f>
        <v>22.441248</v>
      </c>
      <c r="S185" s="7" t="n">
        <f aca="false">IF(AND(ISNUMBER(P185),ISNUMBER(Q185)),Q185,L185)</f>
        <v>114.158624</v>
      </c>
      <c r="T185" s="4" t="n">
        <v>22.441748</v>
      </c>
      <c r="U185" s="4" t="n">
        <v>114.161036</v>
      </c>
    </row>
    <row r="186" customFormat="false" ht="15" hidden="false" customHeight="false" outlineLevel="0" collapsed="false">
      <c r="A186" s="2" t="s">
        <v>798</v>
      </c>
      <c r="B186" s="2" t="s">
        <v>799</v>
      </c>
      <c r="C186" s="3" t="s">
        <v>800</v>
      </c>
      <c r="D186" s="2" t="s">
        <v>219</v>
      </c>
      <c r="E186" s="2" t="s">
        <v>74</v>
      </c>
      <c r="F186" s="2" t="s">
        <v>790</v>
      </c>
      <c r="G186" s="4" t="n">
        <v>22.460746</v>
      </c>
      <c r="H186" s="4" t="n">
        <v>114.157673</v>
      </c>
      <c r="I186" s="2" t="n">
        <v>2.1</v>
      </c>
      <c r="J186" s="2" t="n">
        <v>2</v>
      </c>
      <c r="K186" s="4" t="n">
        <v>22.44152</v>
      </c>
      <c r="L186" s="4" t="n">
        <v>114.162537</v>
      </c>
      <c r="M186" s="2" t="s">
        <v>76</v>
      </c>
      <c r="N186" s="8" t="s">
        <v>77</v>
      </c>
      <c r="O186" s="2" t="s">
        <v>791</v>
      </c>
      <c r="P186" s="6"/>
      <c r="Q186" s="6"/>
      <c r="R186" s="7" t="n">
        <f aca="false">IF(AND(ISNUMBER(P186),ISNUMBER(Q186)),P186,K186)</f>
        <v>22.44152</v>
      </c>
      <c r="S186" s="7" t="n">
        <f aca="false">IF(AND(ISNUMBER(P186),ISNUMBER(Q186)),Q186,L186)</f>
        <v>114.162537</v>
      </c>
      <c r="T186" s="4" t="n">
        <v>22.441748</v>
      </c>
      <c r="U186" s="4" t="n">
        <v>114.161036</v>
      </c>
    </row>
    <row r="187" customFormat="false" ht="15" hidden="false" customHeight="false" outlineLevel="0" collapsed="false">
      <c r="A187" s="2" t="s">
        <v>801</v>
      </c>
      <c r="B187" s="2" t="s">
        <v>802</v>
      </c>
      <c r="C187" s="3" t="s">
        <v>803</v>
      </c>
      <c r="D187" s="2" t="s">
        <v>219</v>
      </c>
      <c r="E187" s="2" t="s">
        <v>74</v>
      </c>
      <c r="F187" s="2" t="s">
        <v>790</v>
      </c>
      <c r="G187" s="4" t="n">
        <v>22.460746</v>
      </c>
      <c r="H187" s="4" t="n">
        <v>114.157673</v>
      </c>
      <c r="I187" s="2" t="n">
        <v>2.1</v>
      </c>
      <c r="J187" s="2" t="n">
        <v>2</v>
      </c>
      <c r="K187" s="4" t="n">
        <v>22.443602</v>
      </c>
      <c r="L187" s="4" t="n">
        <v>114.159199</v>
      </c>
      <c r="M187" s="2" t="s">
        <v>76</v>
      </c>
      <c r="N187" s="8" t="s">
        <v>77</v>
      </c>
      <c r="O187" s="2" t="s">
        <v>791</v>
      </c>
      <c r="P187" s="6"/>
      <c r="Q187" s="6"/>
      <c r="R187" s="7" t="n">
        <f aca="false">IF(AND(ISNUMBER(P187),ISNUMBER(Q187)),P187,K187)</f>
        <v>22.443602</v>
      </c>
      <c r="S187" s="7" t="n">
        <f aca="false">IF(AND(ISNUMBER(P187),ISNUMBER(Q187)),Q187,L187)</f>
        <v>114.159199</v>
      </c>
      <c r="T187" s="4" t="n">
        <v>22.441748</v>
      </c>
      <c r="U187" s="4" t="n">
        <v>114.161036</v>
      </c>
    </row>
    <row r="188" customFormat="false" ht="15" hidden="false" customHeight="false" outlineLevel="0" collapsed="false">
      <c r="A188" s="2" t="s">
        <v>804</v>
      </c>
      <c r="B188" s="2" t="s">
        <v>805</v>
      </c>
      <c r="C188" s="3" t="s">
        <v>806</v>
      </c>
      <c r="D188" s="2" t="s">
        <v>219</v>
      </c>
      <c r="E188" s="2" t="s">
        <v>74</v>
      </c>
      <c r="F188" s="2" t="s">
        <v>790</v>
      </c>
      <c r="G188" s="4" t="n">
        <v>22.460746</v>
      </c>
      <c r="H188" s="4" t="n">
        <v>114.157673</v>
      </c>
      <c r="I188" s="2" t="n">
        <v>2.1</v>
      </c>
      <c r="J188" s="2" t="n">
        <v>2</v>
      </c>
      <c r="K188" s="4" t="n">
        <v>22.442136</v>
      </c>
      <c r="L188" s="4" t="n">
        <v>114.162278</v>
      </c>
      <c r="M188" s="2" t="s">
        <v>76</v>
      </c>
      <c r="N188" s="8" t="s">
        <v>77</v>
      </c>
      <c r="O188" s="2" t="s">
        <v>791</v>
      </c>
      <c r="P188" s="6"/>
      <c r="Q188" s="6"/>
      <c r="R188" s="7" t="n">
        <f aca="false">IF(AND(ISNUMBER(P188),ISNUMBER(Q188)),P188,K188)</f>
        <v>22.442136</v>
      </c>
      <c r="S188" s="7" t="n">
        <f aca="false">IF(AND(ISNUMBER(P188),ISNUMBER(Q188)),Q188,L188)</f>
        <v>114.162278</v>
      </c>
      <c r="T188" s="4" t="n">
        <v>22.441748</v>
      </c>
      <c r="U188" s="4" t="n">
        <v>114.161036</v>
      </c>
    </row>
    <row r="189" customFormat="false" ht="15" hidden="false" customHeight="false" outlineLevel="0" collapsed="false">
      <c r="A189" s="2" t="s">
        <v>807</v>
      </c>
      <c r="B189" s="2" t="s">
        <v>808</v>
      </c>
      <c r="C189" s="3" t="s">
        <v>809</v>
      </c>
      <c r="D189" s="2" t="s">
        <v>135</v>
      </c>
      <c r="E189" s="2" t="s">
        <v>74</v>
      </c>
      <c r="F189" s="2" t="s">
        <v>550</v>
      </c>
      <c r="G189" s="4" t="n">
        <v>22.489771</v>
      </c>
      <c r="H189" s="4" t="n">
        <v>114.059273</v>
      </c>
      <c r="I189" s="2" t="n">
        <v>2.01</v>
      </c>
      <c r="J189" s="2" t="n">
        <v>2</v>
      </c>
      <c r="K189" s="4" t="n">
        <v>22.503114</v>
      </c>
      <c r="L189" s="4" t="n">
        <v>114.073034</v>
      </c>
      <c r="M189" s="2" t="s">
        <v>76</v>
      </c>
      <c r="N189" s="8" t="s">
        <v>77</v>
      </c>
      <c r="O189" s="2" t="s">
        <v>551</v>
      </c>
      <c r="P189" s="6"/>
      <c r="Q189" s="6"/>
      <c r="R189" s="7" t="n">
        <f aca="false">IF(AND(ISNUMBER(P189),ISNUMBER(Q189)),P189,K189)</f>
        <v>22.503114</v>
      </c>
      <c r="S189" s="7" t="n">
        <f aca="false">IF(AND(ISNUMBER(P189),ISNUMBER(Q189)),Q189,L189)</f>
        <v>114.073034</v>
      </c>
      <c r="T189" s="4" t="n">
        <v>22.501033</v>
      </c>
      <c r="U189" s="4" t="n">
        <v>114.074653</v>
      </c>
    </row>
  </sheetData>
  <autoFilter ref="A1:U1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0"/>
  </cols>
  <sheetData>
    <row r="1" customFormat="false" ht="16.15" hidden="false" customHeight="false" outlineLevel="0" collapsed="false">
      <c r="A1" s="9" t="s">
        <v>810</v>
      </c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2" t="s">
        <v>811</v>
      </c>
      <c r="B3" s="2" t="n">
        <f aca="false">COUNTA('Adjusted List'!A2:A189)</f>
        <v>188</v>
      </c>
    </row>
    <row r="4" customFormat="false" ht="15" hidden="false" customHeight="false" outlineLevel="0" collapsed="false">
      <c r="A4" s="2" t="s">
        <v>812</v>
      </c>
      <c r="B4" s="2" t="n">
        <f aca="false">COUNTIF('Adjusted List'!N2:N189,"medium")</f>
        <v>11</v>
      </c>
    </row>
    <row r="5" customFormat="false" ht="15" hidden="false" customHeight="false" outlineLevel="0" collapsed="false">
      <c r="A5" s="2" t="s">
        <v>813</v>
      </c>
      <c r="B5" s="2" t="n">
        <f aca="false">COUNTIF('Adjusted List'!N2:N189,"low")</f>
        <v>177</v>
      </c>
    </row>
    <row r="6" customFormat="false" ht="15" hidden="false" customHeight="false" outlineLevel="0" collapsed="false">
      <c r="A6" s="2" t="s">
        <v>814</v>
      </c>
      <c r="B6" s="2" t="n">
        <f aca="false">COUNT('Adjusted List'!P2:P189)</f>
        <v>0</v>
      </c>
    </row>
    <row r="7" customFormat="false" ht="15" hidden="false" customHeight="false" outlineLevel="0" collapsed="false">
      <c r="A7" s="2"/>
      <c r="B7" s="2"/>
    </row>
    <row r="8" customFormat="false" ht="15" hidden="false" customHeight="false" outlineLevel="0" collapsed="false">
      <c r="A8" s="10" t="s">
        <v>815</v>
      </c>
    </row>
    <row r="9" customFormat="false" ht="15" hidden="false" customHeight="false" outlineLevel="0" collapsed="false">
      <c r="A9" s="2" t="s">
        <v>816</v>
      </c>
      <c r="B9" s="2"/>
    </row>
    <row r="10" customFormat="false" ht="15" hidden="false" customHeight="false" outlineLevel="0" collapsed="false">
      <c r="A10" s="2" t="s">
        <v>817</v>
      </c>
      <c r="B10" s="2"/>
    </row>
    <row r="11" customFormat="false" ht="15" hidden="false" customHeight="false" outlineLevel="0" collapsed="false">
      <c r="A11" s="2" t="s">
        <v>818</v>
      </c>
      <c r="B11" s="2"/>
    </row>
    <row r="12" customFormat="false" ht="15" hidden="false" customHeight="false" outlineLevel="0" collapsed="false">
      <c r="A12" s="2" t="s">
        <v>819</v>
      </c>
      <c r="B12" s="2"/>
    </row>
    <row r="13" customFormat="false" ht="15" hidden="false" customHeight="false" outlineLevel="0" collapsed="false">
      <c r="A13" s="2" t="s">
        <v>820</v>
      </c>
      <c r="B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2026-10-07T07:04:43Z</dcterms:created>
  <dc:creator>openpyxl</dc:creator>
  <dc:description/>
  <dc:language>en-US</dc:language>
  <cp:lastModifiedBy/>
  <dcterms:modified xsi:type="dcterms:W3CDTF">2026-10-07T07:04:43Z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